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62D343C6-F5E6-4E9B-A07B-8B96111ED73A}" xr6:coauthVersionLast="47" xr6:coauthVersionMax="47" xr10:uidLastSave="{00000000-0000-0000-0000-000000000000}"/>
  <bookViews>
    <workbookView xWindow="-120" yWindow="-120" windowWidth="29040" windowHeight="15720" activeTab="9" xr2:uid="{6B8F3ED8-DE0A-4736-9ED3-2445EA162342}"/>
  </bookViews>
  <sheets>
    <sheet name="Basic Formatting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_FilterDatabase" localSheetId="0" hidden="1">'Basic Formatting'!$A$1:$E$21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7" l="1"/>
  <c r="E2" i="7"/>
  <c r="H2" i="6"/>
  <c r="F7" i="6"/>
  <c r="E7" i="6"/>
  <c r="D7" i="6"/>
  <c r="C7" i="6"/>
  <c r="F6" i="6"/>
  <c r="E6" i="6"/>
  <c r="D6" i="6"/>
  <c r="C6" i="6"/>
  <c r="B7" i="6"/>
  <c r="B6" i="6"/>
  <c r="G5" i="6"/>
  <c r="H3" i="6"/>
  <c r="H4" i="6"/>
  <c r="H5" i="6"/>
  <c r="G3" i="6"/>
  <c r="G4" i="6"/>
  <c r="G2" i="6"/>
  <c r="D6" i="5"/>
  <c r="D4" i="5"/>
  <c r="D2" i="5"/>
  <c r="A8" i="5"/>
  <c r="C10" i="4"/>
  <c r="C9" i="4"/>
  <c r="C8" i="4"/>
  <c r="C7" i="4"/>
  <c r="F3" i="3"/>
  <c r="F4" i="3"/>
  <c r="F5" i="3"/>
  <c r="F6" i="3"/>
  <c r="F2" i="3"/>
  <c r="E7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8" i="1" l="1"/>
</calcChain>
</file>

<file path=xl/sharedStrings.xml><?xml version="1.0" encoding="utf-8"?>
<sst xmlns="http://schemas.openxmlformats.org/spreadsheetml/2006/main" count="187" uniqueCount="131">
  <si>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</si>
  <si>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</si>
  <si>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</si>
  <si>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</si>
  <si>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</si>
  <si>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</si>
  <si>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</si>
  <si>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</si>
  <si>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</si>
  <si>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</si>
  <si>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</si>
  <si>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</si>
  <si>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</si>
  <si>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</si>
  <si>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</si>
  <si>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</si>
  <si>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</si>
  <si>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</si>
  <si>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</si>
  <si>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</si>
  <si>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</si>
  <si>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</si>
  <si>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</si>
  <si>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</si>
  <si>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</si>
  <si>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</si>
  <si>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</si>
  <si>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</si>
  <si>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</si>
  <si>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</si>
  <si>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</si>
  <si>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</si>
  <si>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</si>
  <si>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</si>
  <si>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Sanjay Sirsikar</t>
  </si>
  <si>
    <t>Jiya Patel</t>
  </si>
  <si>
    <t>Hetvi Joshi</t>
  </si>
  <si>
    <t>Pawan Shah</t>
  </si>
  <si>
    <t>Om Thakar</t>
  </si>
  <si>
    <t>Jay Patel</t>
  </si>
  <si>
    <t>Smit Soni</t>
  </si>
  <si>
    <t>Ravi Patel</t>
  </si>
  <si>
    <t>Ketan Chitara</t>
  </si>
  <si>
    <t>Azaz Pathan</t>
  </si>
  <si>
    <t>Kardam Joshi</t>
  </si>
  <si>
    <t>Rakhi Mulchandani</t>
  </si>
  <si>
    <t>Harsh Thakar</t>
  </si>
  <si>
    <t>Pinakin Trivedi</t>
  </si>
  <si>
    <t>Mahendra Kori</t>
  </si>
  <si>
    <t>BI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</si>
  <si>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</si>
  <si>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</si>
  <si>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</si>
  <si>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</si>
  <si>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</si>
  <si>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</si>
  <si>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</si>
  <si>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</si>
  <si>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</si>
  <si>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</si>
  <si>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</si>
  <si>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</si>
  <si>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</si>
  <si>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</si>
  <si>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</si>
  <si>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</si>
  <si>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</si>
  <si>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</si>
  <si>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</si>
  <si>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</si>
  <si>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</si>
  <si>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</si>
  <si>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</si>
  <si>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</si>
  <si>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</si>
  <si>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</si>
  <si>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</si>
  <si>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</si>
  <si>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</si>
  <si>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</si>
  <si>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</si>
  <si>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</si>
  <si>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</si>
  <si>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</si>
  <si>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</si>
  <si>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Total</t>
  </si>
  <si>
    <t>Average</t>
  </si>
  <si>
    <t>High Value</t>
  </si>
  <si>
    <t>Low Value</t>
  </si>
  <si>
    <t>Employee Name</t>
  </si>
  <si>
    <t>Suresh</t>
  </si>
  <si>
    <t>Meena</t>
  </si>
  <si>
    <t>Karan</t>
  </si>
  <si>
    <t>Ritu</t>
  </si>
  <si>
    <t>Aman</t>
  </si>
  <si>
    <t>Neel</t>
  </si>
  <si>
    <t>Total Salary Dept wise</t>
  </si>
  <si>
    <t>Day 1</t>
  </si>
  <si>
    <t>Day 2</t>
  </si>
  <si>
    <t>Day 3</t>
  </si>
  <si>
    <t>Day 4</t>
  </si>
  <si>
    <t>Day 5</t>
  </si>
  <si>
    <t>P</t>
  </si>
  <si>
    <t>A</t>
  </si>
  <si>
    <t>Present Count</t>
  </si>
  <si>
    <t>Absent Count</t>
  </si>
  <si>
    <t>Order ID</t>
  </si>
  <si>
    <t>O101</t>
  </si>
  <si>
    <t>O102</t>
  </si>
  <si>
    <t>O103</t>
  </si>
  <si>
    <t>O104</t>
  </si>
  <si>
    <t>O105</t>
  </si>
  <si>
    <t>O106</t>
  </si>
  <si>
    <t>Count sales above 10000</t>
  </si>
  <si>
    <t>Count sales below 5000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</si>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</sst>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9" formatCode="[$-409]dd/mmm/yy;@"/>
  </numFmts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0">
    <xf numFmtId="0" fontId="0" fillId="0" borderId="0" xfId="0"/>
    <xf numFmtId="169" fontId="0" fillId="0" borderId="0" xfId="0" applyNumberFormat="1"/>
    <xf numFmtId="6" fontId="0" fillId="0" borderId="0" xfId="0" applyNumberFormat="1"/>
    <xf numFmtId="0" fontId="2" fillId="3" borderId="2" xfId="0" applyFont="1" applyFill="1" applyBorder="1"/>
    <xf numFmtId="0" fontId="0" fillId="0" borderId="2" xfId="0" applyBorder="1"/>
    <xf numFmtId="6" fontId="0" fillId="0" borderId="2" xfId="0" applyNumberFormat="1" applyBorder="1"/>
    <xf numFmtId="169" fontId="0" fillId="0" borderId="2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vertical="top"/>
    </xf>
    <xf numFmtId="0" fontId="1" fillId="2" borderId="1" xfId="1" applyAlignment="1">
      <alignment vertical="center"/>
    </xf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0" fillId="5" borderId="0" xfId="0" applyFill="1"/>
    <xf numFmtId="6" fontId="0" fillId="5" borderId="0" xfId="0" applyNumberFormat="1" applyFill="1"/>
    <xf numFmtId="0" fontId="0" fillId="6" borderId="0" xfId="0" applyFill="1"/>
    <xf numFmtId="6" fontId="0" fillId="6" borderId="0" xfId="0" applyNumberFormat="1" applyFill="1"/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9" borderId="11" xfId="0" applyFont="1" applyFill="1" applyBorder="1" applyAlignment="1">
      <alignment horizontal="center" vertical="center" wrapText="1"/>
    </xf>
    <xf numFmtId="6" fontId="0" fillId="0" borderId="12" xfId="0" applyNumberFormat="1" applyBorder="1" applyAlignment="1">
      <alignment vertical="center" wrapText="1"/>
    </xf>
    <xf numFmtId="6" fontId="0" fillId="0" borderId="13" xfId="0" applyNumberFormat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6" fontId="2" fillId="10" borderId="14" xfId="0" applyNumberFormat="1" applyFont="1" applyFill="1" applyBorder="1" applyAlignment="1">
      <alignment horizontal="center" vertical="center" wrapText="1"/>
    </xf>
    <xf numFmtId="6" fontId="2" fillId="10" borderId="15" xfId="0" applyNumberFormat="1" applyFont="1" applyFill="1" applyBorder="1" applyAlignment="1">
      <alignment horizontal="center" vertical="center" wrapText="1"/>
    </xf>
    <xf numFmtId="6" fontId="2" fillId="11" borderId="14" xfId="0" applyNumberFormat="1" applyFont="1" applyFill="1" applyBorder="1" applyAlignment="1">
      <alignment horizontal="center" vertical="center" wrapText="1"/>
    </xf>
    <xf numFmtId="6" fontId="2" fillId="11" borderId="15" xfId="0" applyNumberFormat="1" applyFont="1" applyFill="1" applyBorder="1" applyAlignment="1">
      <alignment horizontal="center" vertical="center" wrapText="1"/>
    </xf>
    <xf numFmtId="6" fontId="2" fillId="8" borderId="14" xfId="0" applyNumberFormat="1" applyFont="1" applyFill="1" applyBorder="1" applyAlignment="1">
      <alignment horizontal="center" vertical="center" wrapText="1"/>
    </xf>
    <xf numFmtId="6" fontId="2" fillId="8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</cellXfs>
  <cellStyles count="2">
    <cellStyle name="Calculation" xfId="1" builtinId="22"/>
    <cellStyle name="Normal" xfId="0" builtinId="0"/>
  </cellStyles>
  <dxfs count="13">
    <dxf>
      <fill>
        <patternFill>
          <bgColor rgb="FF00B050"/>
        </patternFill>
      </fill>
    </dxf>
    <dxf>
      <fill>
        <patternFill>
          <bgColor rgb="FFEF21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EF21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00B050"/>
      </font>
    </dxf>
    <dxf>
      <font>
        <b/>
        <i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438150</xdr:colOff>
      <xdr:row>8</xdr:row>
      <xdr:rowOff>104963</xdr:rowOff>
    </xdr:from>
    <xdr:to>
      <xdr:col>19</xdr:col>
      <xdr:colOff>190500</xdr:colOff>
      <xdr:row>28</xdr:row>
      <xdr:rowOff>48314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35730B-06A1-A27D-0768-D5CDA59FC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0" y="1628963"/>
          <a:ext cx="5238750" cy="3753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5</xdr:row>
      <xdr:rowOff>355490</xdr:rowOff>
    </xdr:from>
    <xdr:to>
      <xdr:col>15</xdr:col>
      <xdr:colOff>123825</xdr:colOff>
      <xdr:row>18</xdr:row>
      <xdr:rowOff>133999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4BA25-39FD-8B57-7E4C-C2FA5CF4B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307990"/>
          <a:ext cx="4562475" cy="32456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6</xdr:row>
      <xdr:rowOff>39260</xdr:rowOff>
    </xdr:from>
    <xdr:to>
      <xdr:col>19</xdr:col>
      <xdr:colOff>171451</xdr:colOff>
      <xdr:row>26</xdr:row>
      <xdr:rowOff>105406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C5EE0-EDAF-9E3F-D747-09F43A08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1" y="1534685"/>
          <a:ext cx="5581650" cy="387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11</xdr:row>
      <xdr:rowOff>7850</xdr:rowOff>
    </xdr:from>
    <xdr:to>
      <xdr:col>18</xdr:col>
      <xdr:colOff>161925</xdr:colOff>
      <xdr:row>28</xdr:row>
      <xdr:rowOff>162563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C2EBF-B162-D781-3A4E-F3115092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6575" y="2103350"/>
          <a:ext cx="4705350" cy="33932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0</xdr:rowOff>
    </xdr:from>
    <xdr:to>
      <xdr:col>23</xdr:col>
      <xdr:colOff>124608</xdr:colOff>
      <xdr:row>31</xdr:row>
      <xdr:rowOff>86431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62725-0625-1CE6-97E9-21BC1D222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6850" y="1552575"/>
          <a:ext cx="5611008" cy="50584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9</xdr:row>
      <xdr:rowOff>0</xdr:rowOff>
    </xdr:from>
    <xdr:to>
      <xdr:col>24</xdr:col>
      <xdr:colOff>438892</xdr:colOff>
      <xdr:row>31</xdr:row>
      <xdr:rowOff>48217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32674-983D-9AC4-C561-B2D91DE72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5925" y="1905000"/>
          <a:ext cx="5315692" cy="4239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15</xdr:col>
      <xdr:colOff>438807</xdr:colOff>
      <xdr:row>29</xdr:row>
      <xdr:rowOff>133927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8CBED-A2AE-AAA5-A1DF-8A0DC1E2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1524000"/>
          <a:ext cx="4706007" cy="41344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17</xdr:col>
      <xdr:colOff>143746</xdr:colOff>
      <xdr:row>28</xdr:row>
      <xdr:rowOff>10164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550C1-A618-0407-74E1-120D368F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450" y="762000"/>
          <a:ext cx="6239746" cy="45821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16</xdr:col>
      <xdr:colOff>543511</xdr:colOff>
      <xdr:row>25</xdr:row>
      <xdr:rowOff>152953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57733-661C-DF2B-B652-C44555178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7375" y="952500"/>
          <a:ext cx="4201111" cy="39629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9</xdr:row>
      <xdr:rowOff>0</xdr:rowOff>
    </xdr:from>
    <xdr:to>
      <xdr:col>24</xdr:col>
      <xdr:colOff>562989</xdr:colOff>
      <xdr:row>35</xdr:row>
      <xdr:rowOff>76902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3749D-0671-FD56-065D-A4596DA4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6275" y="1714500"/>
          <a:ext cx="7268589" cy="5029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5D87-3EE0-4D00-B2E3-B9F726EE3AE2}">
  <dimension ref="A1:U31"/>
  <sheetViews>
    <sheetView workbookViewId="0"/>
  </sheetViews>
  <sheetFormatPr defaultRowHeight="15" x14ac:dyDescent="0.25"/>
  <cols>
    <col min="1" max="1" width="14.42578125" bestFit="1" customWidth="1"/>
    <col min="2" max="2" width="18" bestFit="1" customWidth="1"/>
    <col min="3" max="3" width="14" bestFit="1" customWidth="1"/>
    <col min="4" max="4" width="8.5703125" bestFit="1" customWidth="1"/>
    <col min="5" max="5" width="14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21" x14ac:dyDescent="0.25">
      <c r="A2" s="4" t="s">
        <v>5</v>
      </c>
      <c r="B2" s="4" t="s">
        <v>6</v>
      </c>
      <c r="C2" s="4" t="s">
        <v>7</v>
      </c>
      <c r="D2" s="5">
        <v>32000</v>
      </c>
      <c r="E2" s="6">
        <v>44573</v>
      </c>
    </row>
    <row r="3" spans="1:21" x14ac:dyDescent="0.25">
      <c r="A3" s="4" t="s">
        <v>8</v>
      </c>
      <c r="B3" s="4" t="s">
        <v>9</v>
      </c>
      <c r="C3" s="4" t="s">
        <v>10</v>
      </c>
      <c r="D3" s="5">
        <v>45000</v>
      </c>
      <c r="E3" s="6">
        <v>44260</v>
      </c>
    </row>
    <row r="4" spans="1:21" x14ac:dyDescent="0.25">
      <c r="A4" s="4" t="s">
        <v>11</v>
      </c>
      <c r="B4" s="4" t="s">
        <v>12</v>
      </c>
      <c r="C4" s="4" t="s">
        <v>13</v>
      </c>
      <c r="D4" s="5">
        <v>38000</v>
      </c>
      <c r="E4" s="6">
        <v>44030</v>
      </c>
    </row>
    <row r="5" spans="1:21" x14ac:dyDescent="0.25">
      <c r="A5" s="4" t="s">
        <v>14</v>
      </c>
      <c r="B5" s="4" t="s">
        <v>15</v>
      </c>
      <c r="C5" s="4" t="s">
        <v>10</v>
      </c>
      <c r="D5" s="5">
        <v>52000</v>
      </c>
      <c r="E5" s="6">
        <v>43779</v>
      </c>
    </row>
    <row r="6" spans="1:21" x14ac:dyDescent="0.25">
      <c r="A6" s="4" t="s">
        <v>16</v>
      </c>
      <c r="B6" s="4" t="s">
        <v>17</v>
      </c>
      <c r="C6" s="4" t="s">
        <v>18</v>
      </c>
      <c r="D6" s="5">
        <v>30000</v>
      </c>
      <c r="E6" s="6">
        <v>45102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25">
      <c r="A7" s="4" t="s">
        <v>19</v>
      </c>
      <c r="B7" s="4" t="s">
        <v>34</v>
      </c>
      <c r="C7" s="4" t="s">
        <v>49</v>
      </c>
      <c r="D7" s="5">
        <v>83658</v>
      </c>
      <c r="E7" s="6">
        <f ca="1">+TODAY()</f>
        <v>46046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4" t="s">
        <v>20</v>
      </c>
      <c r="B8" s="4" t="s">
        <v>35</v>
      </c>
      <c r="C8" s="4" t="s">
        <v>49</v>
      </c>
      <c r="D8" s="5">
        <v>60656</v>
      </c>
      <c r="E8" s="6">
        <f ca="1">+E7+9</f>
        <v>46055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4" t="s">
        <v>21</v>
      </c>
      <c r="B9" s="4" t="s">
        <v>36</v>
      </c>
      <c r="C9" s="4" t="s">
        <v>49</v>
      </c>
      <c r="D9" s="5">
        <v>69782</v>
      </c>
      <c r="E9" s="6">
        <f ca="1">+E7+-1</f>
        <v>46045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4" t="s">
        <v>22</v>
      </c>
      <c r="B10" s="4" t="s">
        <v>37</v>
      </c>
      <c r="C10" s="4" t="s">
        <v>49</v>
      </c>
      <c r="D10" s="5">
        <v>77624</v>
      </c>
      <c r="E10" s="6">
        <f ca="1">+E9-100</f>
        <v>45945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4" t="s">
        <v>23</v>
      </c>
      <c r="B11" s="4" t="s">
        <v>38</v>
      </c>
      <c r="C11" s="4" t="s">
        <v>49</v>
      </c>
      <c r="D11" s="5">
        <v>80047</v>
      </c>
      <c r="E11" s="6">
        <f ca="1">+E10-45</f>
        <v>45900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4" t="s">
        <v>24</v>
      </c>
      <c r="B12" s="4" t="s">
        <v>39</v>
      </c>
      <c r="C12" s="4" t="s">
        <v>49</v>
      </c>
      <c r="D12" s="5">
        <v>63750</v>
      </c>
      <c r="E12" s="6">
        <f ca="1">+E11-78</f>
        <v>45822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4" t="s">
        <v>25</v>
      </c>
      <c r="B13" s="4" t="s">
        <v>40</v>
      </c>
      <c r="C13" s="4" t="s">
        <v>49</v>
      </c>
      <c r="D13" s="5">
        <v>66015</v>
      </c>
      <c r="E13" s="6">
        <f t="shared" ref="E13:E21" ca="1" si="0">+E12-78</f>
        <v>45744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4" t="s">
        <v>26</v>
      </c>
      <c r="B14" s="4" t="s">
        <v>41</v>
      </c>
      <c r="C14" s="4" t="s">
        <v>13</v>
      </c>
      <c r="D14" s="5">
        <v>83282</v>
      </c>
      <c r="E14" s="6">
        <f t="shared" ca="1" si="0"/>
        <v>45666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4" t="s">
        <v>27</v>
      </c>
      <c r="B15" s="4" t="s">
        <v>42</v>
      </c>
      <c r="C15" s="4" t="s">
        <v>13</v>
      </c>
      <c r="D15" s="5">
        <v>53589</v>
      </c>
      <c r="E15" s="6">
        <f t="shared" ca="1" si="0"/>
        <v>45588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4" t="s">
        <v>28</v>
      </c>
      <c r="B16" s="4" t="s">
        <v>43</v>
      </c>
      <c r="C16" s="4" t="s">
        <v>13</v>
      </c>
      <c r="D16" s="5">
        <v>74322</v>
      </c>
      <c r="E16" s="6">
        <f t="shared" ca="1" si="0"/>
        <v>45510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4" t="s">
        <v>29</v>
      </c>
      <c r="B17" s="4" t="s">
        <v>44</v>
      </c>
      <c r="C17" s="4" t="s">
        <v>13</v>
      </c>
      <c r="D17" s="5">
        <v>77325</v>
      </c>
      <c r="E17" s="6">
        <f t="shared" ca="1" si="0"/>
        <v>45432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4" t="s">
        <v>30</v>
      </c>
      <c r="B18" s="4" t="s">
        <v>45</v>
      </c>
      <c r="C18" s="4" t="s">
        <v>18</v>
      </c>
      <c r="D18" s="5">
        <v>91831</v>
      </c>
      <c r="E18" s="6">
        <f t="shared" ca="1" si="0"/>
        <v>45354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4" t="s">
        <v>31</v>
      </c>
      <c r="B19" s="4" t="s">
        <v>46</v>
      </c>
      <c r="C19" s="4" t="s">
        <v>18</v>
      </c>
      <c r="D19" s="5">
        <v>62461</v>
      </c>
      <c r="E19" s="6">
        <f t="shared" ca="1" si="0"/>
        <v>45276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4" t="s">
        <v>32</v>
      </c>
      <c r="B20" s="4" t="s">
        <v>47</v>
      </c>
      <c r="C20" s="4" t="s">
        <v>18</v>
      </c>
      <c r="D20" s="5">
        <v>53949</v>
      </c>
      <c r="E20" s="6">
        <f t="shared" ca="1" si="0"/>
        <v>45198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4" t="s">
        <v>33</v>
      </c>
      <c r="B21" s="4" t="s">
        <v>48</v>
      </c>
      <c r="C21" s="4" t="s">
        <v>18</v>
      </c>
      <c r="D21" s="5">
        <v>51220</v>
      </c>
      <c r="E21" s="6">
        <f t="shared" ca="1" si="0"/>
        <v>45120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25"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</sheetData>
  <autoFilter ref="A1:E21" xr:uid="{37895D87-3EE0-4D00-B2E3-B9F726EE3AE2}"/>
  <mergeCells count="1">
    <mergeCell ref="K6:U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AB81-C256-427F-97B3-F95F4F43821D}">
  <dimension ref="A3:P19"/>
  <sheetViews>
    <sheetView workbookViewId="0"/>
  </sheetViews>
  <sheetFormatPr defaultRowHeight="15" x14ac:dyDescent="0.25"/>
  <cols>
    <col min="1" max="1" width="16.140625" bestFit="1" customWidth="1"/>
    <col min="2" max="2" width="7.140625" bestFit="1" customWidth="1"/>
    <col min="3" max="3" width="13.28515625" bestFit="1" customWidth="1"/>
    <col min="4" max="4" width="11.7109375" bestFit="1" customWidth="1"/>
  </cols>
  <sheetData>
    <row r="3" spans="1:16" x14ac:dyDescent="0.25">
      <c r="A3" s="7" t="s">
        <v>66</v>
      </c>
      <c r="B3" s="7"/>
      <c r="C3" s="7"/>
      <c r="D3" s="7"/>
    </row>
    <row r="5" spans="1:16" x14ac:dyDescent="0.25">
      <c r="A5" t="s">
        <v>50</v>
      </c>
      <c r="B5" t="s">
        <v>51</v>
      </c>
      <c r="C5" t="s">
        <v>52</v>
      </c>
      <c r="D5" t="s">
        <v>53</v>
      </c>
    </row>
    <row r="6" spans="1:16" ht="35.1" customHeight="1" x14ac:dyDescent="0.25">
      <c r="A6" s="8" t="s">
        <v>54</v>
      </c>
      <c r="B6" t="s">
        <v>55</v>
      </c>
      <c r="C6" s="2">
        <v>45000</v>
      </c>
      <c r="D6" t="s">
        <v>56</v>
      </c>
      <c r="H6" s="7"/>
      <c r="I6" s="7"/>
      <c r="J6" s="7"/>
      <c r="K6" s="7"/>
      <c r="L6" s="7"/>
      <c r="M6" s="7"/>
      <c r="N6" s="7"/>
      <c r="O6" s="7"/>
      <c r="P6" s="7"/>
    </row>
    <row r="7" spans="1:16" ht="35.1" customHeight="1" x14ac:dyDescent="0.25">
      <c r="A7" s="8" t="s">
        <v>57</v>
      </c>
      <c r="B7" t="s">
        <v>58</v>
      </c>
      <c r="C7" s="2">
        <v>1200</v>
      </c>
      <c r="D7" t="s">
        <v>59</v>
      </c>
      <c r="H7" s="7"/>
      <c r="I7" s="7"/>
      <c r="J7" s="7"/>
      <c r="K7" s="7"/>
      <c r="L7" s="7"/>
      <c r="M7" s="7"/>
      <c r="N7" s="7"/>
      <c r="O7" s="7"/>
      <c r="P7" s="7"/>
    </row>
    <row r="8" spans="1:16" ht="35.1" customHeight="1" x14ac:dyDescent="0.25">
      <c r="A8" s="8" t="s">
        <v>60</v>
      </c>
      <c r="B8" t="s">
        <v>61</v>
      </c>
      <c r="C8" s="2">
        <v>18000</v>
      </c>
      <c r="D8" t="s">
        <v>62</v>
      </c>
      <c r="H8" s="7"/>
      <c r="I8" s="7"/>
      <c r="J8" s="7"/>
      <c r="K8" s="7"/>
      <c r="L8" s="7"/>
      <c r="M8" s="7"/>
      <c r="N8" s="7"/>
      <c r="O8" s="7"/>
      <c r="P8" s="7"/>
    </row>
    <row r="9" spans="1:16" ht="35.1" customHeight="1" x14ac:dyDescent="0.25">
      <c r="A9" s="8" t="s">
        <v>63</v>
      </c>
      <c r="B9" t="s">
        <v>64</v>
      </c>
      <c r="C9" s="2">
        <v>62000</v>
      </c>
      <c r="D9" t="s">
        <v>65</v>
      </c>
      <c r="H9" s="7"/>
      <c r="I9" s="7"/>
      <c r="J9" s="7"/>
      <c r="K9" s="7"/>
      <c r="L9" s="7"/>
      <c r="M9" s="7"/>
      <c r="N9" s="7"/>
      <c r="O9" s="7"/>
      <c r="P9" s="7"/>
    </row>
    <row r="10" spans="1:16" x14ac:dyDescent="0.25"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5"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5"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5"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5">
      <c r="H16" s="7"/>
      <c r="I16" s="7"/>
      <c r="J16" s="7"/>
      <c r="K16" s="7"/>
      <c r="L16" s="7"/>
      <c r="M16" s="7"/>
      <c r="N16" s="7"/>
      <c r="O16" s="7"/>
      <c r="P16" s="7"/>
    </row>
    <row r="17" spans="8:16" x14ac:dyDescent="0.25">
      <c r="H17" s="7"/>
      <c r="I17" s="7"/>
      <c r="J17" s="7"/>
      <c r="K17" s="7"/>
      <c r="L17" s="7"/>
      <c r="M17" s="7"/>
      <c r="N17" s="7"/>
      <c r="O17" s="7"/>
      <c r="P17" s="7"/>
    </row>
    <row r="18" spans="8:16" x14ac:dyDescent="0.25">
      <c r="H18" s="7"/>
      <c r="I18" s="7"/>
      <c r="J18" s="7"/>
      <c r="K18" s="7"/>
      <c r="L18" s="7"/>
      <c r="M18" s="7"/>
      <c r="N18" s="7"/>
      <c r="O18" s="7"/>
      <c r="P18" s="7"/>
    </row>
    <row r="19" spans="8:16" x14ac:dyDescent="0.25">
      <c r="H19" s="7"/>
      <c r="I19" s="7"/>
      <c r="J19" s="7"/>
      <c r="K19" s="7"/>
      <c r="L19" s="7"/>
      <c r="M19" s="7"/>
      <c r="N19" s="7"/>
      <c r="O19" s="7"/>
      <c r="P19" s="7"/>
    </row>
  </sheetData>
  <mergeCells count="2">
    <mergeCell ref="A3:D3"/>
    <mergeCell ref="H6:P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98E4-6055-4C26-B849-84674D890331}">
  <dimension ref="A1:V29"/>
  <sheetViews>
    <sheetView workbookViewId="0">
      <selection activeCell="J4" sqref="J4:V29"/>
    </sheetView>
  </sheetViews>
  <sheetFormatPr defaultRowHeight="15" x14ac:dyDescent="0.25"/>
  <cols>
    <col min="1" max="1" width="7.42578125" bestFit="1" customWidth="1"/>
    <col min="2" max="2" width="13.85546875" bestFit="1" customWidth="1"/>
    <col min="3" max="3" width="6.42578125" bestFit="1" customWidth="1"/>
    <col min="4" max="4" width="7.7109375" bestFit="1" customWidth="1"/>
    <col min="5" max="5" width="7.28515625" bestFit="1" customWidth="1"/>
    <col min="6" max="6" width="11" bestFit="1" customWidth="1"/>
  </cols>
  <sheetData>
    <row r="1" spans="1:22" s="10" customFormat="1" ht="42.75" customHeight="1" x14ac:dyDescent="0.25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</row>
    <row r="2" spans="1:22" x14ac:dyDescent="0.25">
      <c r="A2">
        <v>1</v>
      </c>
      <c r="B2" t="s">
        <v>73</v>
      </c>
      <c r="C2">
        <v>78</v>
      </c>
      <c r="D2">
        <v>82</v>
      </c>
      <c r="E2">
        <v>74</v>
      </c>
      <c r="F2" s="9">
        <f>+SUM(C2:E2)/300</f>
        <v>0.78</v>
      </c>
    </row>
    <row r="3" spans="1:22" x14ac:dyDescent="0.25">
      <c r="A3">
        <v>2</v>
      </c>
      <c r="B3" t="s">
        <v>74</v>
      </c>
      <c r="C3">
        <v>65</v>
      </c>
      <c r="D3">
        <v>70</v>
      </c>
      <c r="E3">
        <v>68</v>
      </c>
      <c r="F3" s="9">
        <f t="shared" ref="F3:F6" si="0">+SUM(C3:E3)/300</f>
        <v>0.67666666666666664</v>
      </c>
    </row>
    <row r="4" spans="1:22" x14ac:dyDescent="0.25">
      <c r="A4">
        <v>3</v>
      </c>
      <c r="B4" t="s">
        <v>75</v>
      </c>
      <c r="C4">
        <v>90</v>
      </c>
      <c r="D4">
        <v>88</v>
      </c>
      <c r="E4">
        <v>92</v>
      </c>
      <c r="F4" s="9">
        <f t="shared" si="0"/>
        <v>0.9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>
        <v>4</v>
      </c>
      <c r="B5" t="s">
        <v>76</v>
      </c>
      <c r="C5">
        <v>35</v>
      </c>
      <c r="D5">
        <v>40</v>
      </c>
      <c r="E5">
        <v>38</v>
      </c>
      <c r="F5" s="9">
        <f t="shared" si="0"/>
        <v>0.37666666666666665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25">
      <c r="A6">
        <v>5</v>
      </c>
      <c r="B6" t="s">
        <v>77</v>
      </c>
      <c r="C6">
        <v>55</v>
      </c>
      <c r="D6">
        <v>60</v>
      </c>
      <c r="E6">
        <v>58</v>
      </c>
      <c r="F6" s="9">
        <f t="shared" si="0"/>
        <v>0.57666666666666666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25"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5"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0:22" x14ac:dyDescent="0.25"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0:22" x14ac:dyDescent="0.25"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0:22" x14ac:dyDescent="0.25"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0:22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0:22" x14ac:dyDescent="0.25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0:22" x14ac:dyDescent="0.25"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0:22" x14ac:dyDescent="0.25"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0:22" x14ac:dyDescent="0.25"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0:22" x14ac:dyDescent="0.25"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0:22" x14ac:dyDescent="0.25"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0:22" x14ac:dyDescent="0.25"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0:22" x14ac:dyDescent="0.25"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0:22" x14ac:dyDescent="0.25"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</sheetData>
  <mergeCells count="1">
    <mergeCell ref="J4:V29"/>
  </mergeCells>
  <conditionalFormatting sqref="F2:F6">
    <cfRule type="cellIs" dxfId="12" priority="1" operator="greaterThan">
      <formula>0.5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F702-2B97-414E-AE32-C1C1107EFF59}">
  <dimension ref="A1:U30"/>
  <sheetViews>
    <sheetView workbookViewId="0">
      <selection activeCell="G38" sqref="G38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13.28515625" bestFit="1" customWidth="1"/>
  </cols>
  <sheetData>
    <row r="1" spans="1:21" x14ac:dyDescent="0.25">
      <c r="A1" t="s">
        <v>78</v>
      </c>
      <c r="B1" t="s">
        <v>79</v>
      </c>
      <c r="C1" t="s">
        <v>52</v>
      </c>
    </row>
    <row r="2" spans="1:21" x14ac:dyDescent="0.25">
      <c r="A2" t="s">
        <v>80</v>
      </c>
      <c r="B2" s="1">
        <v>45292</v>
      </c>
      <c r="C2" s="2">
        <v>12000</v>
      </c>
    </row>
    <row r="3" spans="1:21" x14ac:dyDescent="0.25">
      <c r="A3" t="s">
        <v>81</v>
      </c>
      <c r="B3" s="1">
        <v>45294</v>
      </c>
      <c r="C3" s="2">
        <v>25000</v>
      </c>
    </row>
    <row r="4" spans="1:21" x14ac:dyDescent="0.25">
      <c r="A4" t="s">
        <v>82</v>
      </c>
      <c r="B4" s="1">
        <v>45296</v>
      </c>
      <c r="C4" s="2">
        <v>8000</v>
      </c>
    </row>
    <row r="5" spans="1:21" x14ac:dyDescent="0.25">
      <c r="A5" t="s">
        <v>83</v>
      </c>
      <c r="B5" s="1">
        <v>45299</v>
      </c>
      <c r="C5" s="2">
        <v>32000</v>
      </c>
    </row>
    <row r="6" spans="1:21" x14ac:dyDescent="0.25">
      <c r="A6" t="s">
        <v>84</v>
      </c>
      <c r="B6" s="1">
        <v>45301</v>
      </c>
      <c r="C6" s="2">
        <v>15000</v>
      </c>
    </row>
    <row r="7" spans="1:21" x14ac:dyDescent="0.25">
      <c r="B7" s="12" t="s">
        <v>85</v>
      </c>
      <c r="C7" s="13">
        <f>SUM(C2:C6)</f>
        <v>92000</v>
      </c>
    </row>
    <row r="8" spans="1:21" x14ac:dyDescent="0.25">
      <c r="B8" s="14" t="s">
        <v>86</v>
      </c>
      <c r="C8" s="15">
        <f>+AVERAGE(C2:C6)</f>
        <v>18400</v>
      </c>
    </row>
    <row r="9" spans="1:21" x14ac:dyDescent="0.25">
      <c r="B9" s="16" t="s">
        <v>87</v>
      </c>
      <c r="C9" s="17">
        <f>+MIN(C2:C6)</f>
        <v>8000</v>
      </c>
    </row>
    <row r="10" spans="1:21" x14ac:dyDescent="0.25">
      <c r="B10" s="18" t="s">
        <v>88</v>
      </c>
      <c r="C10" s="19">
        <f>+MAX(C2:C6)</f>
        <v>32000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7:21" x14ac:dyDescent="0.25"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7:21" x14ac:dyDescent="0.25"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7:21" x14ac:dyDescent="0.25"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7:21" x14ac:dyDescent="0.25"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7:21" x14ac:dyDescent="0.25"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7:21" x14ac:dyDescent="0.25"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7:21" x14ac:dyDescent="0.25"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7:21" x14ac:dyDescent="0.25"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7:21" x14ac:dyDescent="0.25"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7:21" x14ac:dyDescent="0.25"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7:21" x14ac:dyDescent="0.25"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7:21" x14ac:dyDescent="0.25"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7:21" x14ac:dyDescent="0.25"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7:21" x14ac:dyDescent="0.25"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</sheetData>
  <mergeCells count="1">
    <mergeCell ref="G10:U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AF2A-B151-4E2F-A6A6-ADE2496B248D}">
  <dimension ref="A1:D8"/>
  <sheetViews>
    <sheetView workbookViewId="0">
      <selection activeCell="O6" sqref="O6"/>
    </sheetView>
  </sheetViews>
  <sheetFormatPr defaultRowHeight="15" x14ac:dyDescent="0.25"/>
  <cols>
    <col min="1" max="1" width="15.7109375" style="20" bestFit="1" customWidth="1"/>
    <col min="2" max="2" width="11.7109375" style="20" bestFit="1" customWidth="1"/>
    <col min="3" max="3" width="8.140625" style="20" bestFit="1" customWidth="1"/>
    <col min="4" max="4" width="9.28515625" style="20" bestFit="1" customWidth="1"/>
    <col min="5" max="16384" width="9.140625" style="20"/>
  </cols>
  <sheetData>
    <row r="1" spans="1:4" ht="60.75" thickBot="1" x14ac:dyDescent="0.3">
      <c r="A1" s="29" t="s">
        <v>89</v>
      </c>
      <c r="B1" s="30" t="s">
        <v>2</v>
      </c>
      <c r="C1" s="34" t="s">
        <v>3</v>
      </c>
      <c r="D1" s="37" t="s">
        <v>96</v>
      </c>
    </row>
    <row r="2" spans="1:4" x14ac:dyDescent="0.25">
      <c r="A2" s="21" t="s">
        <v>93</v>
      </c>
      <c r="B2" s="23" t="s">
        <v>13</v>
      </c>
      <c r="C2" s="35">
        <v>42000</v>
      </c>
      <c r="D2" s="38">
        <f>+SUM(C2:C3)</f>
        <v>80000</v>
      </c>
    </row>
    <row r="3" spans="1:4" ht="15.75" thickBot="1" x14ac:dyDescent="0.3">
      <c r="A3" s="22" t="s">
        <v>95</v>
      </c>
      <c r="B3" s="24" t="s">
        <v>13</v>
      </c>
      <c r="C3" s="36">
        <v>38000</v>
      </c>
      <c r="D3" s="39"/>
    </row>
    <row r="4" spans="1:4" x14ac:dyDescent="0.25">
      <c r="A4" s="21" t="s">
        <v>90</v>
      </c>
      <c r="B4" s="25" t="s">
        <v>7</v>
      </c>
      <c r="C4" s="35">
        <v>28000</v>
      </c>
      <c r="D4" s="40">
        <f>+SUM(C4:C5)</f>
        <v>58000</v>
      </c>
    </row>
    <row r="5" spans="1:4" ht="15.75" thickBot="1" x14ac:dyDescent="0.3">
      <c r="A5" s="22" t="s">
        <v>94</v>
      </c>
      <c r="B5" s="26" t="s">
        <v>7</v>
      </c>
      <c r="C5" s="36">
        <v>30000</v>
      </c>
      <c r="D5" s="41"/>
    </row>
    <row r="6" spans="1:4" x14ac:dyDescent="0.25">
      <c r="A6" s="21" t="s">
        <v>91</v>
      </c>
      <c r="B6" s="27" t="s">
        <v>10</v>
      </c>
      <c r="C6" s="35">
        <v>45000</v>
      </c>
      <c r="D6" s="42">
        <f>+SUM(C6:C7)</f>
        <v>95000</v>
      </c>
    </row>
    <row r="7" spans="1:4" ht="15.75" thickBot="1" x14ac:dyDescent="0.3">
      <c r="A7" s="22" t="s">
        <v>92</v>
      </c>
      <c r="B7" s="28" t="s">
        <v>10</v>
      </c>
      <c r="C7" s="36">
        <v>50000</v>
      </c>
      <c r="D7" s="43"/>
    </row>
    <row r="8" spans="1:4" ht="15.75" thickBot="1" x14ac:dyDescent="0.3">
      <c r="A8" s="31">
        <f>+COUNTA(A2:A7)</f>
        <v>6</v>
      </c>
      <c r="B8" s="32"/>
      <c r="C8" s="32"/>
      <c r="D8" s="33"/>
    </row>
  </sheetData>
  <sortState xmlns:xlrd2="http://schemas.microsoft.com/office/spreadsheetml/2017/richdata2" ref="A2:C7">
    <sortCondition ref="B2:B7"/>
  </sortState>
  <mergeCells count="3">
    <mergeCell ref="D2:D3"/>
    <mergeCell ref="D4:D5"/>
    <mergeCell ref="D6:D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8FCC-8637-4E4A-8EEA-4E0202878FD8}">
  <dimension ref="A1:H7"/>
  <sheetViews>
    <sheetView workbookViewId="0">
      <selection activeCell="M10" sqref="M10"/>
    </sheetView>
  </sheetViews>
  <sheetFormatPr defaultRowHeight="15" x14ac:dyDescent="0.25"/>
  <cols>
    <col min="1" max="1" width="13.85546875" style="44" bestFit="1" customWidth="1"/>
    <col min="2" max="6" width="5.7109375" style="44" bestFit="1" customWidth="1"/>
    <col min="7" max="7" width="13.7109375" style="44" bestFit="1" customWidth="1"/>
    <col min="8" max="8" width="10.28515625" style="44" bestFit="1" customWidth="1"/>
    <col min="9" max="16384" width="9.140625" style="44"/>
  </cols>
  <sheetData>
    <row r="1" spans="1:8" s="46" customFormat="1" ht="30" x14ac:dyDescent="0.25">
      <c r="A1" s="45" t="s">
        <v>68</v>
      </c>
      <c r="B1" s="45" t="s">
        <v>97</v>
      </c>
      <c r="C1" s="45" t="s">
        <v>98</v>
      </c>
      <c r="D1" s="45" t="s">
        <v>99</v>
      </c>
      <c r="E1" s="45" t="s">
        <v>100</v>
      </c>
      <c r="F1" s="45" t="s">
        <v>101</v>
      </c>
      <c r="G1" s="45" t="s">
        <v>104</v>
      </c>
      <c r="H1" s="45" t="s">
        <v>105</v>
      </c>
    </row>
    <row r="2" spans="1:8" x14ac:dyDescent="0.25">
      <c r="A2" s="44" t="s">
        <v>73</v>
      </c>
      <c r="B2" s="44" t="s">
        <v>102</v>
      </c>
      <c r="C2" s="44" t="s">
        <v>103</v>
      </c>
      <c r="D2" s="44" t="s">
        <v>102</v>
      </c>
      <c r="E2" s="44" t="s">
        <v>102</v>
      </c>
      <c r="F2" s="44" t="s">
        <v>102</v>
      </c>
      <c r="G2" s="47">
        <f>+COUNTIF(B2:F2,"P")</f>
        <v>4</v>
      </c>
      <c r="H2" s="48">
        <f>+COUNTIF(B2:F2,"A")</f>
        <v>1</v>
      </c>
    </row>
    <row r="3" spans="1:8" x14ac:dyDescent="0.25">
      <c r="A3" s="44" t="s">
        <v>74</v>
      </c>
      <c r="B3" s="44" t="s">
        <v>102</v>
      </c>
      <c r="C3" s="44" t="s">
        <v>102</v>
      </c>
      <c r="D3" s="44" t="s">
        <v>102</v>
      </c>
      <c r="E3" s="44" t="s">
        <v>103</v>
      </c>
      <c r="F3" s="44" t="s">
        <v>102</v>
      </c>
      <c r="G3" s="47">
        <f t="shared" ref="G3:G5" si="0">+COUNTIF(B3:F3,"P")</f>
        <v>4</v>
      </c>
      <c r="H3" s="48">
        <f t="shared" ref="H3:H5" si="1">+COUNTIF(B3:F3,"A")</f>
        <v>1</v>
      </c>
    </row>
    <row r="4" spans="1:8" x14ac:dyDescent="0.25">
      <c r="A4" s="44" t="s">
        <v>75</v>
      </c>
      <c r="B4" s="44" t="s">
        <v>103</v>
      </c>
      <c r="C4" s="44" t="s">
        <v>102</v>
      </c>
      <c r="D4" s="44" t="s">
        <v>102</v>
      </c>
      <c r="E4" s="44" t="s">
        <v>102</v>
      </c>
      <c r="F4" s="44" t="s">
        <v>102</v>
      </c>
      <c r="G4" s="47">
        <f t="shared" si="0"/>
        <v>4</v>
      </c>
      <c r="H4" s="48">
        <f t="shared" si="1"/>
        <v>1</v>
      </c>
    </row>
    <row r="5" spans="1:8" x14ac:dyDescent="0.25">
      <c r="A5" s="44" t="s">
        <v>76</v>
      </c>
      <c r="B5" s="44" t="s">
        <v>102</v>
      </c>
      <c r="C5" s="44" t="s">
        <v>103</v>
      </c>
      <c r="D5" s="44" t="s">
        <v>103</v>
      </c>
      <c r="E5" s="44" t="s">
        <v>102</v>
      </c>
      <c r="F5" s="44" t="s">
        <v>103</v>
      </c>
      <c r="G5" s="47">
        <f>+COUNTIF(B5:F5,"P")</f>
        <v>2</v>
      </c>
      <c r="H5" s="48">
        <f t="shared" si="1"/>
        <v>3</v>
      </c>
    </row>
    <row r="6" spans="1:8" x14ac:dyDescent="0.25">
      <c r="A6" s="45" t="s">
        <v>104</v>
      </c>
      <c r="B6" s="48">
        <f>+COUNTIF(B2:B5,"P")</f>
        <v>3</v>
      </c>
      <c r="C6" s="48">
        <f t="shared" ref="C6:F6" si="2">+COUNTIF(C2:C5,"P")</f>
        <v>2</v>
      </c>
      <c r="D6" s="48">
        <f t="shared" si="2"/>
        <v>3</v>
      </c>
      <c r="E6" s="48">
        <f t="shared" si="2"/>
        <v>3</v>
      </c>
      <c r="F6" s="48">
        <f t="shared" si="2"/>
        <v>3</v>
      </c>
    </row>
    <row r="7" spans="1:8" x14ac:dyDescent="0.25">
      <c r="A7" s="45" t="s">
        <v>105</v>
      </c>
      <c r="B7" s="49">
        <f>+COUNTIF(B2:B5,"A")</f>
        <v>1</v>
      </c>
      <c r="C7" s="49">
        <f t="shared" ref="C7:F7" si="3">+COUNTIF(C2:C5,"A")</f>
        <v>2</v>
      </c>
      <c r="D7" s="49">
        <f t="shared" si="3"/>
        <v>1</v>
      </c>
      <c r="E7" s="49">
        <f t="shared" si="3"/>
        <v>1</v>
      </c>
      <c r="F7" s="49">
        <f t="shared" si="3"/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0D16-9D15-48F7-BFE7-9E0205E89BAA}">
  <dimension ref="A1:E7"/>
  <sheetViews>
    <sheetView workbookViewId="0">
      <selection activeCell="I9" sqref="I9"/>
    </sheetView>
  </sheetViews>
  <sheetFormatPr defaultRowHeight="15" x14ac:dyDescent="0.25"/>
  <cols>
    <col min="1" max="1" width="8.42578125" bestFit="1" customWidth="1"/>
    <col min="2" max="2" width="13.28515625" bestFit="1" customWidth="1"/>
    <col min="4" max="4" width="22.85546875" bestFit="1" customWidth="1"/>
  </cols>
  <sheetData>
    <row r="1" spans="1:5" x14ac:dyDescent="0.25">
      <c r="A1" t="s">
        <v>106</v>
      </c>
      <c r="B1" t="s">
        <v>52</v>
      </c>
    </row>
    <row r="2" spans="1:5" x14ac:dyDescent="0.25">
      <c r="A2" t="s">
        <v>107</v>
      </c>
      <c r="B2">
        <v>4500</v>
      </c>
      <c r="D2" t="s">
        <v>113</v>
      </c>
      <c r="E2">
        <f>+COUNTIF(B2:B7,"&gt;10000")</f>
        <v>3</v>
      </c>
    </row>
    <row r="3" spans="1:5" x14ac:dyDescent="0.25">
      <c r="A3" t="s">
        <v>108</v>
      </c>
      <c r="B3">
        <v>12000</v>
      </c>
    </row>
    <row r="4" spans="1:5" x14ac:dyDescent="0.25">
      <c r="A4" t="s">
        <v>109</v>
      </c>
      <c r="B4">
        <v>8000</v>
      </c>
      <c r="D4" t="s">
        <v>114</v>
      </c>
      <c r="E4">
        <f>+COUNTIF(B2:B7,"&lt;5000")</f>
        <v>2</v>
      </c>
    </row>
    <row r="5" spans="1:5" x14ac:dyDescent="0.25">
      <c r="A5" t="s">
        <v>110</v>
      </c>
      <c r="B5">
        <v>25000</v>
      </c>
    </row>
    <row r="6" spans="1:5" x14ac:dyDescent="0.25">
      <c r="A6" t="s">
        <v>111</v>
      </c>
      <c r="B6">
        <v>3000</v>
      </c>
    </row>
    <row r="7" spans="1:5" x14ac:dyDescent="0.25">
      <c r="A7" t="s">
        <v>112</v>
      </c>
      <c r="B7">
        <v>15000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A350-88EF-46BB-B7F8-47209B5F7634}">
  <dimension ref="A1:B6"/>
  <sheetViews>
    <sheetView workbookViewId="0">
      <selection activeCell="H5" sqref="H5"/>
    </sheetView>
  </sheetViews>
  <sheetFormatPr defaultRowHeight="15" x14ac:dyDescent="0.25"/>
  <cols>
    <col min="1" max="1" width="12.140625" bestFit="1" customWidth="1"/>
    <col min="2" max="2" width="13.28515625" bestFit="1" customWidth="1"/>
  </cols>
  <sheetData>
    <row r="1" spans="1:2" x14ac:dyDescent="0.25">
      <c r="A1" t="s">
        <v>115</v>
      </c>
      <c r="B1" t="s">
        <v>52</v>
      </c>
    </row>
    <row r="2" spans="1:2" x14ac:dyDescent="0.25">
      <c r="A2" t="s">
        <v>116</v>
      </c>
      <c r="B2">
        <v>22000</v>
      </c>
    </row>
    <row r="3" spans="1:2" x14ac:dyDescent="0.25">
      <c r="A3" t="s">
        <v>117</v>
      </c>
      <c r="B3">
        <v>3500</v>
      </c>
    </row>
    <row r="4" spans="1:2" x14ac:dyDescent="0.25">
      <c r="A4" t="s">
        <v>118</v>
      </c>
      <c r="B4">
        <v>58000</v>
      </c>
    </row>
    <row r="5" spans="1:2" x14ac:dyDescent="0.25">
      <c r="A5" t="s">
        <v>119</v>
      </c>
      <c r="B5">
        <v>1800</v>
      </c>
    </row>
    <row r="6" spans="1:2" x14ac:dyDescent="0.25">
      <c r="A6" t="s">
        <v>120</v>
      </c>
      <c r="B6">
        <v>12000</v>
      </c>
    </row>
  </sheetData>
  <conditionalFormatting sqref="B2:B6">
    <cfRule type="cellIs" dxfId="9" priority="2" operator="greaterThan">
      <formula>20000</formula>
    </cfRule>
    <cfRule type="cellIs" dxfId="10" priority="1" operator="lessThan">
      <formula>5000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1B24-944C-4029-87ED-996F8E1C1B9E}">
  <dimension ref="A1:C6"/>
  <sheetViews>
    <sheetView workbookViewId="0">
      <selection activeCell="T6" sqref="T6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6.28515625" bestFit="1" customWidth="1"/>
  </cols>
  <sheetData>
    <row r="1" spans="1:3" x14ac:dyDescent="0.25">
      <c r="A1" t="s">
        <v>67</v>
      </c>
      <c r="B1" t="s">
        <v>1</v>
      </c>
      <c r="C1" t="s">
        <v>121</v>
      </c>
    </row>
    <row r="2" spans="1:3" x14ac:dyDescent="0.25">
      <c r="A2">
        <v>1</v>
      </c>
      <c r="B2" t="s">
        <v>94</v>
      </c>
      <c r="C2">
        <v>85</v>
      </c>
    </row>
    <row r="3" spans="1:3" x14ac:dyDescent="0.25">
      <c r="A3">
        <v>2</v>
      </c>
      <c r="B3" t="s">
        <v>122</v>
      </c>
      <c r="C3">
        <v>72</v>
      </c>
    </row>
    <row r="4" spans="1:3" x14ac:dyDescent="0.25">
      <c r="A4">
        <v>3</v>
      </c>
      <c r="B4" t="s">
        <v>123</v>
      </c>
      <c r="C4">
        <v>39</v>
      </c>
    </row>
    <row r="5" spans="1:3" x14ac:dyDescent="0.25">
      <c r="A5">
        <v>4</v>
      </c>
      <c r="B5" t="s">
        <v>124</v>
      </c>
      <c r="C5">
        <v>91</v>
      </c>
    </row>
    <row r="6" spans="1:3" x14ac:dyDescent="0.25">
      <c r="A6">
        <v>5</v>
      </c>
      <c r="B6" t="s">
        <v>125</v>
      </c>
      <c r="C6">
        <v>28</v>
      </c>
    </row>
  </sheetData>
  <conditionalFormatting sqref="C2:C6">
    <cfRule type="cellIs" dxfId="8" priority="2" operator="greaterThanOrEqual">
      <formula>75</formula>
    </cfRule>
    <cfRule type="cellIs" dxfId="7" priority="1" operator="lessThan">
      <formula>40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4690-6920-4D00-A56A-D79DA50D9A34}">
  <dimension ref="A1:B6"/>
  <sheetViews>
    <sheetView tabSelected="1" workbookViewId="0">
      <selection activeCell="N10" sqref="N10"/>
    </sheetView>
  </sheetViews>
  <sheetFormatPr defaultRowHeight="15" x14ac:dyDescent="0.25"/>
  <cols>
    <col min="1" max="1" width="15.7109375" bestFit="1" customWidth="1"/>
    <col min="2" max="2" width="8.140625" bestFit="1" customWidth="1"/>
  </cols>
  <sheetData>
    <row r="1" spans="1:2" x14ac:dyDescent="0.25">
      <c r="A1" t="s">
        <v>89</v>
      </c>
      <c r="B1" t="s">
        <v>3</v>
      </c>
    </row>
    <row r="2" spans="1:2" x14ac:dyDescent="0.25">
      <c r="A2" t="s">
        <v>126</v>
      </c>
      <c r="B2" s="2">
        <v>28000</v>
      </c>
    </row>
    <row r="3" spans="1:2" x14ac:dyDescent="0.25">
      <c r="A3" t="s">
        <v>127</v>
      </c>
      <c r="B3" s="2">
        <v>34000</v>
      </c>
    </row>
    <row r="4" spans="1:2" x14ac:dyDescent="0.25">
      <c r="A4" t="s">
        <v>128</v>
      </c>
      <c r="B4" s="2">
        <v>51000</v>
      </c>
    </row>
    <row r="5" spans="1:2" x14ac:dyDescent="0.25">
      <c r="A5" t="s">
        <v>129</v>
      </c>
      <c r="B5" s="2">
        <v>47000</v>
      </c>
    </row>
    <row r="6" spans="1:2" x14ac:dyDescent="0.25">
      <c r="A6" t="s">
        <v>130</v>
      </c>
      <c r="B6" s="2">
        <v>29000</v>
      </c>
    </row>
  </sheetData>
  <conditionalFormatting sqref="B2:B6">
    <cfRule type="cellIs" dxfId="0" priority="3" operator="greaterThanOrEqual">
      <formula>50000</formula>
    </cfRule>
    <cfRule type="cellIs" dxfId="1" priority="2" operator="lessThan">
      <formula>30000</formula>
    </cfRule>
    <cfRule type="cellIs" dxfId="2" priority="1" operator="between">
      <formula>30000</formula>
      <formula>49999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 Formatting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2026-01-24T14:49:13Z</dcterms:created>
  <dcterms:modified xsi:type="dcterms:W3CDTF">2026-01-24T15:49:00Z</dcterms:modified>
</cp:coreProperties>
</file>
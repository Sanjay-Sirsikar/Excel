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njay_Github\Excel\"/>
    </mc:Choice>
  </mc:AlternateContent>
  <xr:revisionPtr revIDLastSave="0" documentId="13_ncr:1_{70E6F31E-F95B-4EC6-AB62-6E8B40F7B616}" xr6:coauthVersionLast="47" xr6:coauthVersionMax="47" xr10:uidLastSave="{00000000-0000-0000-0000-000000000000}"/>
  <bookViews>
    <workbookView xWindow="-120" yWindow="-120" windowWidth="29040" windowHeight="15720" activeTab="12" xr2:uid="{FC16F1F9-51EA-4971-8453-8D2010AD72C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 (2)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3" l="1"/>
  <c r="B7" i="13"/>
  <c r="B8" i="13"/>
  <c r="B9" i="13"/>
  <c r="B5" i="13"/>
  <c r="D5" i="13"/>
  <c r="D8" i="13"/>
  <c r="D6" i="13"/>
  <c r="D7" i="13"/>
  <c r="D9" i="13"/>
  <c r="C6" i="13"/>
  <c r="C7" i="13"/>
  <c r="C8" i="13"/>
  <c r="C9" i="13"/>
  <c r="C5" i="13"/>
  <c r="B2" i="14"/>
  <c r="C2" i="14" s="1"/>
  <c r="B3" i="14"/>
  <c r="C3" i="14" s="1"/>
  <c r="B4" i="14"/>
  <c r="C4" i="14"/>
  <c r="D4" i="14"/>
  <c r="E4" i="14"/>
  <c r="F4" i="14"/>
  <c r="G4" i="14"/>
  <c r="B5" i="14"/>
  <c r="C5" i="14"/>
  <c r="D5" i="14"/>
  <c r="E5" i="14"/>
  <c r="F5" i="14" s="1"/>
  <c r="G5" i="14"/>
  <c r="B6" i="14"/>
  <c r="C6" i="14" s="1"/>
  <c r="G4" i="11"/>
  <c r="F4" i="11"/>
  <c r="D5" i="12"/>
  <c r="D6" i="12"/>
  <c r="D7" i="12"/>
  <c r="D8" i="12"/>
  <c r="D4" i="12"/>
  <c r="C5" i="12"/>
  <c r="C6" i="12"/>
  <c r="C7" i="12"/>
  <c r="C8" i="12"/>
  <c r="C4" i="12"/>
  <c r="B5" i="12"/>
  <c r="B6" i="12"/>
  <c r="B7" i="12"/>
  <c r="B8" i="12"/>
  <c r="B4" i="12"/>
  <c r="E4" i="11"/>
  <c r="C4" i="11"/>
  <c r="D5" i="11"/>
  <c r="D6" i="11"/>
  <c r="D7" i="11"/>
  <c r="D8" i="11"/>
  <c r="D4" i="11"/>
  <c r="B5" i="11"/>
  <c r="B6" i="11"/>
  <c r="B7" i="11"/>
  <c r="B8" i="11"/>
  <c r="B4" i="11"/>
  <c r="G6" i="14" l="1"/>
  <c r="E6" i="14"/>
  <c r="E2" i="14"/>
  <c r="G3" i="14"/>
  <c r="E3" i="14"/>
  <c r="D3" i="14"/>
  <c r="F3" i="14" s="1"/>
  <c r="G2" i="14"/>
  <c r="D6" i="14"/>
  <c r="F6" i="14" s="1"/>
  <c r="D2" i="14"/>
  <c r="F2" i="14" s="1"/>
  <c r="F7" i="6"/>
  <c r="F8" i="6"/>
  <c r="D8" i="10"/>
  <c r="D7" i="10"/>
  <c r="D6" i="10"/>
  <c r="D5" i="10"/>
  <c r="C5" i="9"/>
  <c r="C6" i="9"/>
  <c r="C7" i="9"/>
  <c r="C4" i="9"/>
  <c r="C5" i="8"/>
  <c r="C6" i="8"/>
  <c r="C7" i="8"/>
  <c r="C4" i="8"/>
  <c r="D7" i="7"/>
  <c r="D8" i="7"/>
  <c r="D9" i="7"/>
  <c r="D6" i="7"/>
  <c r="D8" i="6"/>
  <c r="D9" i="6"/>
  <c r="D10" i="6"/>
  <c r="D7" i="6"/>
  <c r="D4" i="5"/>
  <c r="D5" i="5"/>
  <c r="D6" i="5"/>
  <c r="D3" i="5"/>
  <c r="D5" i="4"/>
  <c r="D6" i="4"/>
  <c r="D7" i="4"/>
  <c r="D4" i="4"/>
  <c r="C6" i="3"/>
  <c r="C7" i="3"/>
  <c r="C8" i="3"/>
  <c r="C9" i="3"/>
  <c r="C5" i="3"/>
  <c r="C7" i="2"/>
  <c r="C8" i="2"/>
  <c r="C9" i="2"/>
  <c r="C6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<sst xmlns="http://schemas.openxmlformats.org/spreadsheetml/2006/main" count="117" uniqueCount="78">
  <si>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</si>
  <si>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</si>
  <si>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</si>
  <si>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</si>
  <si>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</si>
  <si>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</si>
  <si>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</si>
  <si>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</si>
  <si>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</si>
  <si>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</si>
  <si>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</si>
  <si>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</si>
  <si>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</si>
  <si>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</si>
  <si>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</si>
  <si>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</si>
  <si>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</si>
  <si>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</si>
  <si>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</si>
  <si>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</si>
  <si>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</si>
  <si>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</si>
  <si>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</si>
  <si>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</si>
  <si>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</si>
  <si>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</si>
  <si>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</si>
  <si>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</si>
  <si>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</si>
  <si>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</si>
  <si>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</si>
  <si>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</si>
  <si>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</si>
  <si>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</si>
  <si>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</si>
  <si>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</si>
  <si>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</si>
  <si>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</si>
  <si>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</si>
  <si>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</si>
  <si>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</si>
  <si>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</si>
  <si>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</si>
  <si>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</si>
  <si>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</si>
  <si>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</si>
  <si>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</si>
  <si>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</si>
  <si>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</si>
  <si>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</si>
  <si>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</si>
  <si>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</si>
  <si>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</si>
  <si>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</si>
  <si>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</si>
  <si>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</si>
  <si>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</si>
  <si>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</si>
  <si>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</si>
  <si>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</si>
  <si>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</si>
  <si>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</si>
  <si>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</si>
  <si>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</si>
  <si>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</si>
  <si>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</si>
  <si>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</si>
  <si>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</si>
  <si>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</si>
  <si>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</si>
  <si>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+49 151-234-5678</t>
  </si>
  <si>
    <t>+61 412-345-678</t>
  </si>
  <si>
    <t>+91 98765-43210</t>
  </si>
  <si>
    <t>+44 123-456-7890</t>
  </si>
  <si>
    <t>+1 987-654-3210</t>
  </si>
  <si>
    <t>Number</t>
  </si>
  <si>
    <t>Clean Phone</t>
  </si>
  <si>
    <t>Raw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</si>
</sst>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10</xdr:row>
      <xdr:rowOff>0</xdr:rowOff>
    </xdr:from>
    <xdr:to>
      <xdr:col>25</xdr:col>
      <xdr:colOff>10292</xdr:colOff>
      <xdr:row>34</xdr:row>
      <xdr:rowOff>38743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3A182-3B2D-78DE-90C9-C5A632EB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0"/>
          <a:ext cx="5496692" cy="46107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590550</xdr:colOff>
      <xdr:row>5</xdr:row>
      <xdr:rowOff>0</xdr:rowOff>
    </xdr:from>
    <xdr:to>
      <xdr:col>21</xdr:col>
      <xdr:colOff>114999</xdr:colOff>
      <xdr:row>26</xdr:row>
      <xdr:rowOff>10085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D94A7-61B7-32E5-14CD-2AFB5A84A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952500"/>
          <a:ext cx="5010849" cy="4010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20</xdr:col>
      <xdr:colOff>581702</xdr:colOff>
      <xdr:row>30</xdr:row>
      <xdr:rowOff>181692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66EB7-490E-EF2B-0DD8-4A4B35BFF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62000"/>
          <a:ext cx="4848902" cy="51346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20</xdr:col>
      <xdr:colOff>496050</xdr:colOff>
      <xdr:row>24</xdr:row>
      <xdr:rowOff>86269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E6BB-F55E-453F-5B58-7184E4F6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62000"/>
          <a:ext cx="5372850" cy="3896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22</xdr:col>
      <xdr:colOff>134134</xdr:colOff>
      <xdr:row>23</xdr:row>
      <xdr:rowOff>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343BA-10C6-D4A3-4B8D-DB54D508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571500"/>
          <a:ext cx="5620534" cy="38105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20</xdr:col>
      <xdr:colOff>543681</xdr:colOff>
      <xdr:row>24</xdr:row>
      <xdr:rowOff>152926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99FBE-CDF7-3892-4FAB-9EC8B69C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952500"/>
          <a:ext cx="5420481" cy="3772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21</xdr:col>
      <xdr:colOff>76976</xdr:colOff>
      <xdr:row>24</xdr:row>
      <xdr:rowOff>29111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FDE05-FB60-C06B-48C4-05EC385D6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62000"/>
          <a:ext cx="5563376" cy="38391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20</xdr:col>
      <xdr:colOff>38786</xdr:colOff>
      <xdr:row>24</xdr:row>
      <xdr:rowOff>162506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290CA-A85A-7C82-2B71-6863C89D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71500"/>
          <a:ext cx="4915586" cy="41630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515017</xdr:colOff>
      <xdr:row>24</xdr:row>
      <xdr:rowOff>19611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E053C-2F30-0F76-4A07-72CC9BFE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71500"/>
          <a:ext cx="4782217" cy="40201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22</xdr:col>
      <xdr:colOff>410483</xdr:colOff>
      <xdr:row>25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10C4F-87FB-DABB-495E-1FE30187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71500"/>
          <a:ext cx="6506483" cy="42677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485775</xdr:colOff>
      <xdr:row>2</xdr:row>
      <xdr:rowOff>123825</xdr:rowOff>
    </xdr:from>
    <xdr:to>
      <xdr:col>21</xdr:col>
      <xdr:colOff>410415</xdr:colOff>
      <xdr:row>27</xdr:row>
      <xdr:rowOff>114963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BBAF4-E91B-1864-4FDF-F4F5C6CED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504825"/>
          <a:ext cx="6020640" cy="47536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590550</xdr:colOff>
      <xdr:row>6</xdr:row>
      <xdr:rowOff>0</xdr:rowOff>
    </xdr:from>
    <xdr:to>
      <xdr:col>23</xdr:col>
      <xdr:colOff>96117</xdr:colOff>
      <xdr:row>31</xdr:row>
      <xdr:rowOff>172139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DA949-4A54-B163-E364-2EF3FD95F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1143000"/>
          <a:ext cx="6211167" cy="493463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25</xdr:col>
      <xdr:colOff>353495</xdr:colOff>
      <xdr:row>28</xdr:row>
      <xdr:rowOff>105401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46A97-B241-6ED8-910D-583361BCC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952500"/>
          <a:ext cx="7668695" cy="4486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pedia.org/" TargetMode="External"/><Relationship Id="rId2" Type="http://schemas.openxmlformats.org/officeDocument/2006/relationships/hyperlink" Target="http://www.example.org/" TargetMode="External"/><Relationship Id="rId1" Type="http://schemas.openxmlformats.org/officeDocument/2006/relationships/hyperlink" Target="https://www.amazon.in/" TargetMode="External"/><Relationship Id="rId5" Type="http://schemas.openxmlformats.org/officeDocument/2006/relationships/drawing" Target="../drawings/drawing13.xml"/><Relationship Id="rId4" Type="http://schemas.openxmlformats.org/officeDocument/2006/relationships/hyperlink" Target="http://www.company.co.uk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B2D2-C2BC-423A-B7DE-06159C79EA80}">
  <dimension ref="A2:D7"/>
  <sheetViews>
    <sheetView workbookViewId="0">
      <selection activeCell="D7" sqref="D3:D7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28515625" bestFit="1" customWidth="1"/>
    <col min="4" max="4" width="6.5703125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1</v>
      </c>
      <c r="B3" t="s">
        <v>4</v>
      </c>
      <c r="C3">
        <v>78</v>
      </c>
      <c r="D3" t="str">
        <f>+IF(C3&gt;=40,"Pass","Fail")</f>
        <v>Pass</v>
      </c>
    </row>
    <row r="4" spans="1:4" x14ac:dyDescent="0.25">
      <c r="A4">
        <v>2</v>
      </c>
      <c r="B4" t="s">
        <v>5</v>
      </c>
      <c r="C4">
        <v>35</v>
      </c>
      <c r="D4" t="str">
        <f t="shared" ref="D4:D7" si="0">+IF(C4&gt;=40,"Pass","Fail")</f>
        <v>Fail</v>
      </c>
    </row>
    <row r="5" spans="1:4" x14ac:dyDescent="0.25">
      <c r="A5">
        <v>3</v>
      </c>
      <c r="B5" t="s">
        <v>6</v>
      </c>
      <c r="C5">
        <v>62</v>
      </c>
      <c r="D5" t="str">
        <f t="shared" si="0"/>
        <v>Pass</v>
      </c>
    </row>
    <row r="6" spans="1:4" x14ac:dyDescent="0.25">
      <c r="A6">
        <v>4</v>
      </c>
      <c r="B6" t="s">
        <v>7</v>
      </c>
      <c r="C6">
        <v>40</v>
      </c>
      <c r="D6" t="str">
        <f t="shared" si="0"/>
        <v>Pass</v>
      </c>
    </row>
    <row r="7" spans="1:4" x14ac:dyDescent="0.25">
      <c r="A7">
        <v>5</v>
      </c>
      <c r="B7" t="s">
        <v>8</v>
      </c>
      <c r="C7">
        <v>28</v>
      </c>
      <c r="D7" t="str">
        <f t="shared" si="0"/>
        <v>Fail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67DE-7ED3-448C-A308-5805FF33F79E}">
  <dimension ref="A5:C9"/>
  <sheetViews>
    <sheetView workbookViewId="0">
      <selection activeCell="C9" sqref="C6:C9"/>
    </sheetView>
  </sheetViews>
  <sheetFormatPr defaultRowHeight="15" x14ac:dyDescent="0.25"/>
  <cols>
    <col min="1" max="1" width="15.7109375" bestFit="1" customWidth="1"/>
    <col min="2" max="2" width="6.28515625" bestFit="1" customWidth="1"/>
    <col min="3" max="3" width="12.28515625" bestFit="1" customWidth="1"/>
  </cols>
  <sheetData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>
        <v>28000</v>
      </c>
      <c r="C6" t="str">
        <f>+IF(B6&gt;=40000,"Bonus","No Bonus")</f>
        <v>No Bonus</v>
      </c>
    </row>
    <row r="7" spans="1:3" x14ac:dyDescent="0.25">
      <c r="A7" t="s">
        <v>13</v>
      </c>
      <c r="B7">
        <v>45000</v>
      </c>
      <c r="C7" t="str">
        <f t="shared" ref="C7:C9" si="0">+IF(B7&gt;=40000,"Bonus","No Bonus")</f>
        <v>Bonus</v>
      </c>
    </row>
    <row r="8" spans="1:3" x14ac:dyDescent="0.25">
      <c r="A8" t="s">
        <v>14</v>
      </c>
      <c r="B8">
        <v>52000</v>
      </c>
      <c r="C8" t="str">
        <f t="shared" si="0"/>
        <v>Bonus</v>
      </c>
    </row>
    <row r="9" spans="1:3" x14ac:dyDescent="0.25">
      <c r="A9" t="s">
        <v>15</v>
      </c>
      <c r="B9">
        <v>30000</v>
      </c>
      <c r="C9" t="str">
        <f t="shared" si="0"/>
        <v>No Bonus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5C1B-469E-4210-8C56-D233431F8872}">
  <dimension ref="A4:C9"/>
  <sheetViews>
    <sheetView workbookViewId="0">
      <selection activeCell="C9" sqref="C5:C9"/>
    </sheetView>
  </sheetViews>
  <sheetFormatPr defaultRowHeight="15" x14ac:dyDescent="0.25"/>
  <cols>
    <col min="1" max="1" width="13.85546875" bestFit="1" customWidth="1"/>
    <col min="2" max="3" width="6.28515625" bestFit="1" customWidth="1"/>
  </cols>
  <sheetData>
    <row r="4" spans="1:3" x14ac:dyDescent="0.25">
      <c r="A4" t="s">
        <v>1</v>
      </c>
      <c r="B4" t="s">
        <v>2</v>
      </c>
      <c r="C4" t="s">
        <v>16</v>
      </c>
    </row>
    <row r="5" spans="1:3" x14ac:dyDescent="0.25">
      <c r="A5" t="s">
        <v>4</v>
      </c>
      <c r="B5">
        <v>82</v>
      </c>
      <c r="C5" t="str">
        <f>+IF(B5&gt;=75,"A",IF(B5&gt;=60,"B",IF(B5&gt;=40,"C","Fail")))</f>
        <v>A</v>
      </c>
    </row>
    <row r="6" spans="1:3" x14ac:dyDescent="0.25">
      <c r="A6" t="s">
        <v>5</v>
      </c>
      <c r="B6">
        <v>67</v>
      </c>
      <c r="C6" t="str">
        <f t="shared" ref="C6:C9" si="0">+IF(B6&gt;=75,"A",IF(B6&gt;=60,"B",IF(B6&gt;=40,"C","Fail")))</f>
        <v>B</v>
      </c>
    </row>
    <row r="7" spans="1:3" x14ac:dyDescent="0.25">
      <c r="A7" t="s">
        <v>6</v>
      </c>
      <c r="B7">
        <v>45</v>
      </c>
      <c r="C7" t="str">
        <f t="shared" si="0"/>
        <v>C</v>
      </c>
    </row>
    <row r="8" spans="1:3" x14ac:dyDescent="0.25">
      <c r="A8" t="s">
        <v>7</v>
      </c>
      <c r="B8">
        <v>33</v>
      </c>
      <c r="C8" t="str">
        <f t="shared" si="0"/>
        <v>Fail</v>
      </c>
    </row>
    <row r="9" spans="1:3" x14ac:dyDescent="0.25">
      <c r="A9" t="s">
        <v>8</v>
      </c>
      <c r="B9">
        <v>90</v>
      </c>
      <c r="C9" t="str">
        <f t="shared" si="0"/>
        <v>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DBDA-0447-408B-9127-72DE8121F640}">
  <dimension ref="A3:D7"/>
  <sheetViews>
    <sheetView workbookViewId="0">
      <selection activeCell="D4" sqref="D4"/>
    </sheetView>
  </sheetViews>
  <sheetFormatPr defaultRowHeight="15" x14ac:dyDescent="0.25"/>
  <cols>
    <col min="1" max="1" width="7.140625" bestFit="1" customWidth="1"/>
    <col min="2" max="2" width="4.42578125" bestFit="1" customWidth="1"/>
    <col min="3" max="3" width="17.7109375" bestFit="1" customWidth="1"/>
    <col min="4" max="4" width="8.85546875" bestFit="1" customWidth="1"/>
  </cols>
  <sheetData>
    <row r="3" spans="1:4" x14ac:dyDescent="0.25">
      <c r="A3" t="s">
        <v>17</v>
      </c>
      <c r="B3" t="s">
        <v>18</v>
      </c>
      <c r="C3" t="s">
        <v>19</v>
      </c>
      <c r="D3" t="s">
        <v>20</v>
      </c>
    </row>
    <row r="4" spans="1:4" x14ac:dyDescent="0.25">
      <c r="A4" t="s">
        <v>12</v>
      </c>
      <c r="B4">
        <v>25</v>
      </c>
      <c r="C4">
        <v>2</v>
      </c>
      <c r="D4" t="str">
        <f>+IF(AND(B4&gt;=21,C4&gt;=1),"Eligible","Declined")</f>
        <v>Eligible</v>
      </c>
    </row>
    <row r="5" spans="1:4" x14ac:dyDescent="0.25">
      <c r="A5" t="s">
        <v>13</v>
      </c>
      <c r="B5">
        <v>20</v>
      </c>
      <c r="C5">
        <v>1</v>
      </c>
      <c r="D5" t="str">
        <f t="shared" ref="D5:D7" si="0">+IF(AND(B5&gt;=21,C5&gt;=1),"Eligible","Declined")</f>
        <v>Declined</v>
      </c>
    </row>
    <row r="6" spans="1:4" x14ac:dyDescent="0.25">
      <c r="A6" t="s">
        <v>14</v>
      </c>
      <c r="B6">
        <v>30</v>
      </c>
      <c r="C6">
        <v>5</v>
      </c>
      <c r="D6" t="str">
        <f t="shared" si="0"/>
        <v>Eligible</v>
      </c>
    </row>
    <row r="7" spans="1:4" x14ac:dyDescent="0.25">
      <c r="A7" t="s">
        <v>15</v>
      </c>
      <c r="B7">
        <v>22</v>
      </c>
      <c r="C7">
        <v>0</v>
      </c>
      <c r="D7" t="str">
        <f t="shared" si="0"/>
        <v>Declined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21A5-4B5B-46EB-8165-3BF2CE243A82}">
  <dimension ref="A2:D6"/>
  <sheetViews>
    <sheetView workbookViewId="0">
      <selection activeCell="D6" sqref="D3:D6"/>
    </sheetView>
  </sheetViews>
  <sheetFormatPr defaultRowHeight="15" x14ac:dyDescent="0.25"/>
  <cols>
    <col min="1" max="1" width="13.85546875" bestFit="1" customWidth="1"/>
    <col min="2" max="2" width="13.42578125" bestFit="1" customWidth="1"/>
    <col min="3" max="3" width="21.5703125" bestFit="1" customWidth="1"/>
    <col min="4" max="4" width="8.42578125" bestFit="1" customWidth="1"/>
  </cols>
  <sheetData>
    <row r="2" spans="1:4" x14ac:dyDescent="0.25">
      <c r="A2" t="s">
        <v>1</v>
      </c>
      <c r="B2" t="s">
        <v>21</v>
      </c>
      <c r="C2" t="s">
        <v>22</v>
      </c>
      <c r="D2" t="s">
        <v>20</v>
      </c>
    </row>
    <row r="3" spans="1:4" x14ac:dyDescent="0.25">
      <c r="A3" t="s">
        <v>4</v>
      </c>
      <c r="B3">
        <v>85</v>
      </c>
      <c r="C3" t="s">
        <v>23</v>
      </c>
      <c r="D3" t="str">
        <f>+IF(AND(B3&gt;=75,C3="Yes"),"Eligible","Tata Bye Bye")</f>
        <v>Eligible</v>
      </c>
    </row>
    <row r="4" spans="1:4" x14ac:dyDescent="0.25">
      <c r="A4" t="s">
        <v>5</v>
      </c>
      <c r="B4">
        <v>72</v>
      </c>
      <c r="C4" t="s">
        <v>23</v>
      </c>
      <c r="D4" t="str">
        <f t="shared" ref="D4:D6" si="0">+IF(AND(B4&gt;=75,C4="Yes"),"Eligible","Tata Bye Bye")</f>
        <v>Tata Bye Bye</v>
      </c>
    </row>
    <row r="5" spans="1:4" x14ac:dyDescent="0.25">
      <c r="A5" t="s">
        <v>6</v>
      </c>
      <c r="B5">
        <v>90</v>
      </c>
      <c r="C5" t="s">
        <v>24</v>
      </c>
      <c r="D5" t="str">
        <f t="shared" si="0"/>
        <v>Tata Bye Bye</v>
      </c>
    </row>
    <row r="6" spans="1:4" x14ac:dyDescent="0.25">
      <c r="A6" t="s">
        <v>7</v>
      </c>
      <c r="B6">
        <v>80</v>
      </c>
      <c r="C6" t="s">
        <v>23</v>
      </c>
      <c r="D6" t="str">
        <f t="shared" si="0"/>
        <v>Eligible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281C-6431-408D-BCB3-59DACBAD87C3}">
  <dimension ref="A6:F10"/>
  <sheetViews>
    <sheetView zoomScale="85" zoomScaleNormal="85" workbookViewId="0">
      <selection activeCell="F7" sqref="F7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2.28515625" bestFit="1" customWidth="1"/>
    <col min="4" max="4" width="8.7109375" bestFit="1" customWidth="1"/>
  </cols>
  <sheetData>
    <row r="6" spans="1:6" x14ac:dyDescent="0.25">
      <c r="A6" t="s">
        <v>25</v>
      </c>
      <c r="B6" t="s">
        <v>26</v>
      </c>
      <c r="C6" t="s">
        <v>27</v>
      </c>
      <c r="D6" t="s">
        <v>28</v>
      </c>
    </row>
    <row r="7" spans="1:6" x14ac:dyDescent="0.25">
      <c r="A7" t="s">
        <v>29</v>
      </c>
      <c r="B7">
        <v>9000</v>
      </c>
      <c r="C7" t="s">
        <v>24</v>
      </c>
      <c r="D7" t="str">
        <f>+IF(OR(B7&gt;=10000,C7="Yes"),"Discount","No Discount")</f>
        <v>No Discount</v>
      </c>
      <c r="F7" t="b">
        <f>+OR(B7&gt;=10000,C7="YES")</f>
        <v>0</v>
      </c>
    </row>
    <row r="8" spans="1:6" x14ac:dyDescent="0.25">
      <c r="A8" t="s">
        <v>30</v>
      </c>
      <c r="B8">
        <v>12000</v>
      </c>
      <c r="C8" t="s">
        <v>24</v>
      </c>
      <c r="D8" t="str">
        <f t="shared" ref="D8:D10" si="0">+IF(OR(B8&gt;=10000,C8="Yes"),"Discount","No Discount")</f>
        <v>Discount</v>
      </c>
      <c r="F8" t="b">
        <f>+OR(B8&gt;=10000,C8="YES")</f>
        <v>1</v>
      </c>
    </row>
    <row r="9" spans="1:6" x14ac:dyDescent="0.25">
      <c r="A9" t="s">
        <v>6</v>
      </c>
      <c r="B9">
        <v>4000</v>
      </c>
      <c r="C9" t="s">
        <v>23</v>
      </c>
      <c r="D9" t="str">
        <f t="shared" si="0"/>
        <v>Discount</v>
      </c>
    </row>
    <row r="10" spans="1:6" x14ac:dyDescent="0.25">
      <c r="A10" t="s">
        <v>31</v>
      </c>
      <c r="B10">
        <v>3000</v>
      </c>
      <c r="C10" t="s">
        <v>24</v>
      </c>
      <c r="D10" t="str">
        <f t="shared" si="0"/>
        <v>No Discount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AF6-AC20-4B11-8220-65F45B04DA3D}">
  <dimension ref="A5:D9"/>
  <sheetViews>
    <sheetView workbookViewId="0">
      <selection activeCell="A4" sqref="A4"/>
    </sheetView>
  </sheetViews>
  <sheetFormatPr defaultRowHeight="15" x14ac:dyDescent="0.25"/>
  <cols>
    <col min="1" max="1" width="9.42578125" bestFit="1" customWidth="1"/>
    <col min="2" max="2" width="6.28515625" bestFit="1" customWidth="1"/>
    <col min="3" max="3" width="10.5703125" bestFit="1" customWidth="1"/>
    <col min="4" max="4" width="11" bestFit="1" customWidth="1"/>
  </cols>
  <sheetData>
    <row r="5" spans="1:4" x14ac:dyDescent="0.25">
      <c r="A5" t="s">
        <v>32</v>
      </c>
      <c r="B5" t="s">
        <v>10</v>
      </c>
      <c r="C5" t="s">
        <v>33</v>
      </c>
      <c r="D5" t="s">
        <v>34</v>
      </c>
    </row>
    <row r="6" spans="1:4" x14ac:dyDescent="0.25">
      <c r="A6" t="s">
        <v>12</v>
      </c>
      <c r="B6">
        <v>35000</v>
      </c>
      <c r="C6">
        <v>720</v>
      </c>
      <c r="D6" t="str">
        <f>+IF(OR(B6&gt;=40000,C6&gt;=700),"Approved","Rejected")</f>
        <v>Approved</v>
      </c>
    </row>
    <row r="7" spans="1:4" x14ac:dyDescent="0.25">
      <c r="A7" t="s">
        <v>13</v>
      </c>
      <c r="B7">
        <v>25000</v>
      </c>
      <c r="C7">
        <v>680</v>
      </c>
      <c r="D7" t="str">
        <f t="shared" ref="D7:D9" si="0">+IF(OR(B7&gt;=40000,C7&gt;=700),"Approved","Rejected")</f>
        <v>Rejected</v>
      </c>
    </row>
    <row r="8" spans="1:4" x14ac:dyDescent="0.25">
      <c r="A8" t="s">
        <v>14</v>
      </c>
      <c r="B8">
        <v>50000</v>
      </c>
      <c r="C8">
        <v>650</v>
      </c>
      <c r="D8" t="str">
        <f t="shared" si="0"/>
        <v>Approved</v>
      </c>
    </row>
    <row r="9" spans="1:4" x14ac:dyDescent="0.25">
      <c r="A9" t="s">
        <v>15</v>
      </c>
      <c r="B9">
        <v>20000</v>
      </c>
      <c r="C9">
        <v>600</v>
      </c>
      <c r="D9" t="str">
        <f t="shared" si="0"/>
        <v>Rejected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780F-5F26-4558-95AB-EF3798F3750D}">
  <dimension ref="A3:C7"/>
  <sheetViews>
    <sheetView workbookViewId="0">
      <selection activeCell="C5" sqref="C5"/>
    </sheetView>
  </sheetViews>
  <sheetFormatPr defaultRowHeight="15" x14ac:dyDescent="0.25"/>
  <cols>
    <col min="1" max="1" width="6.7109375" bestFit="1" customWidth="1"/>
    <col min="2" max="3" width="7.85546875" bestFit="1" customWidth="1"/>
  </cols>
  <sheetData>
    <row r="3" spans="1:3" x14ac:dyDescent="0.25">
      <c r="A3" t="s">
        <v>17</v>
      </c>
      <c r="B3" t="s">
        <v>35</v>
      </c>
      <c r="C3" t="s">
        <v>36</v>
      </c>
    </row>
    <row r="4" spans="1:3" x14ac:dyDescent="0.25">
      <c r="A4" t="s">
        <v>4</v>
      </c>
      <c r="B4" t="b">
        <v>1</v>
      </c>
      <c r="C4" t="str">
        <f>+IF(NOT(B4),"Absent","Present")</f>
        <v>Present</v>
      </c>
    </row>
    <row r="5" spans="1:3" x14ac:dyDescent="0.25">
      <c r="A5" t="s">
        <v>5</v>
      </c>
      <c r="B5" t="b">
        <v>0</v>
      </c>
      <c r="C5" t="str">
        <f t="shared" ref="C5:C7" si="0">+IF(NOT(B5),"Absent","Present")</f>
        <v>Absent</v>
      </c>
    </row>
    <row r="6" spans="1:3" x14ac:dyDescent="0.25">
      <c r="A6" t="s">
        <v>6</v>
      </c>
      <c r="B6" t="b">
        <v>1</v>
      </c>
      <c r="C6" t="str">
        <f t="shared" si="0"/>
        <v>Present</v>
      </c>
    </row>
    <row r="7" spans="1:3" x14ac:dyDescent="0.25">
      <c r="A7" t="s">
        <v>7</v>
      </c>
      <c r="B7" t="b">
        <v>0</v>
      </c>
      <c r="C7" t="str">
        <f t="shared" si="0"/>
        <v>Absent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5ADC-A10C-4D5E-BFD1-84B509F58AFF}">
  <dimension ref="A3:C7"/>
  <sheetViews>
    <sheetView workbookViewId="0"/>
  </sheetViews>
  <sheetFormatPr defaultRowHeight="15" x14ac:dyDescent="0.25"/>
  <cols>
    <col min="1" max="2" width="9.7109375" bestFit="1" customWidth="1"/>
    <col min="3" max="3" width="7" bestFit="1" customWidth="1"/>
  </cols>
  <sheetData>
    <row r="3" spans="1:3" x14ac:dyDescent="0.25">
      <c r="A3" t="s">
        <v>37</v>
      </c>
      <c r="B3" t="s">
        <v>38</v>
      </c>
      <c r="C3" t="s">
        <v>3</v>
      </c>
    </row>
    <row r="4" spans="1:3" x14ac:dyDescent="0.25">
      <c r="A4">
        <v>10</v>
      </c>
      <c r="B4">
        <v>2</v>
      </c>
      <c r="C4">
        <f>+IFERROR(A4/B4,"Invalid")</f>
        <v>5</v>
      </c>
    </row>
    <row r="5" spans="1:3" x14ac:dyDescent="0.25">
      <c r="A5">
        <v>15</v>
      </c>
      <c r="B5">
        <v>0</v>
      </c>
      <c r="C5" t="str">
        <f t="shared" ref="C5:C7" si="0">+IFERROR(A5/B5,"Invalid")</f>
        <v>Invalid</v>
      </c>
    </row>
    <row r="6" spans="1:3" x14ac:dyDescent="0.25">
      <c r="A6">
        <v>20</v>
      </c>
      <c r="B6">
        <v>5</v>
      </c>
      <c r="C6">
        <f t="shared" si="0"/>
        <v>4</v>
      </c>
    </row>
    <row r="7" spans="1:3" x14ac:dyDescent="0.25">
      <c r="A7">
        <v>8</v>
      </c>
      <c r="B7">
        <v>0</v>
      </c>
      <c r="C7" t="str">
        <f t="shared" si="0"/>
        <v>Invalid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D87C-C2DB-442D-AC7E-5A2CBA78A542}">
  <dimension ref="A4:D8"/>
  <sheetViews>
    <sheetView workbookViewId="0">
      <selection activeCell="E3" sqref="E3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13.42578125" bestFit="1" customWidth="1"/>
    <col min="4" max="4" width="18.7109375" bestFit="1" customWidth="1"/>
  </cols>
  <sheetData>
    <row r="4" spans="1:4" x14ac:dyDescent="0.25">
      <c r="A4" t="s">
        <v>9</v>
      </c>
      <c r="B4" t="s">
        <v>39</v>
      </c>
      <c r="C4" t="s">
        <v>21</v>
      </c>
      <c r="D4" t="s">
        <v>40</v>
      </c>
    </row>
    <row r="5" spans="1:4" x14ac:dyDescent="0.25">
      <c r="A5" t="s">
        <v>41</v>
      </c>
      <c r="B5">
        <v>45</v>
      </c>
      <c r="C5">
        <v>92</v>
      </c>
      <c r="D5" t="str">
        <f>+IF(AND(B5&gt;=90,C5&gt;=40),"Excellent",IF(C5&gt;=80,"Good","Need Improvement"))</f>
        <v>Good</v>
      </c>
    </row>
    <row r="6" spans="1:4" x14ac:dyDescent="0.25">
      <c r="A6" t="s">
        <v>42</v>
      </c>
      <c r="B6">
        <v>38</v>
      </c>
      <c r="C6">
        <v>85</v>
      </c>
      <c r="D6" t="str">
        <f t="shared" ref="D6:D8" si="0">+IF(AND(B6&gt;=90,C6&gt;=40),"Excellent",IF(C6&gt;=80,"Good","Need Improvement"))</f>
        <v>Good</v>
      </c>
    </row>
    <row r="7" spans="1:4" x14ac:dyDescent="0.25">
      <c r="A7" t="s">
        <v>43</v>
      </c>
      <c r="B7">
        <v>50</v>
      </c>
      <c r="C7">
        <v>95</v>
      </c>
      <c r="D7" t="str">
        <f t="shared" si="0"/>
        <v>Good</v>
      </c>
    </row>
    <row r="8" spans="1:4" x14ac:dyDescent="0.25">
      <c r="A8" t="s">
        <v>44</v>
      </c>
      <c r="B8">
        <v>30</v>
      </c>
      <c r="C8">
        <v>70</v>
      </c>
      <c r="D8" t="str">
        <f t="shared" si="0"/>
        <v>Need Improvement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CFF2-D480-4A3E-8D75-F30D61933CD2}">
  <dimension ref="A3:G8"/>
  <sheetViews>
    <sheetView zoomScale="130" zoomScaleNormal="130"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8.85546875" bestFit="1" customWidth="1"/>
    <col min="3" max="3" width="15.7109375" bestFit="1" customWidth="1"/>
    <col min="4" max="4" width="13.140625" bestFit="1" customWidth="1"/>
  </cols>
  <sheetData>
    <row r="3" spans="1:7" x14ac:dyDescent="0.25">
      <c r="A3" t="s">
        <v>45</v>
      </c>
      <c r="B3" t="s">
        <v>46</v>
      </c>
      <c r="C3" t="s">
        <v>47</v>
      </c>
      <c r="D3" t="s">
        <v>48</v>
      </c>
    </row>
    <row r="4" spans="1:7" x14ac:dyDescent="0.25">
      <c r="A4" t="s">
        <v>49</v>
      </c>
      <c r="B4" t="str">
        <f>+LEFT(A4,FIND("-",A4)-1)</f>
        <v>ELEC</v>
      </c>
      <c r="C4" t="str">
        <f>+MID(A4,6,4)</f>
        <v>1023</v>
      </c>
      <c r="D4" t="str">
        <f>+RIGHT(A4,2)</f>
        <v>US</v>
      </c>
      <c r="E4" t="str">
        <f>+RIGHT(A4,FIND("-",A4)-3)</f>
        <v>US</v>
      </c>
      <c r="F4" t="str">
        <f>LEFT(A4,FIND("-",A4))</f>
        <v>ELEC-</v>
      </c>
      <c r="G4" t="str">
        <f>RIGHT(A4,FIND("-",A4))</f>
        <v>23-US</v>
      </c>
    </row>
    <row r="5" spans="1:7" x14ac:dyDescent="0.25">
      <c r="A5" t="s">
        <v>50</v>
      </c>
      <c r="B5" t="str">
        <f t="shared" ref="B5:B8" si="0">+LEFT(A5,FIND("-",A5)-1)</f>
        <v>FASH</v>
      </c>
      <c r="D5" t="str">
        <f t="shared" ref="D5:D8" si="1">+RIGHT(A5,2)</f>
        <v>UK</v>
      </c>
    </row>
    <row r="6" spans="1:7" x14ac:dyDescent="0.25">
      <c r="A6" t="s">
        <v>51</v>
      </c>
      <c r="B6" t="str">
        <f t="shared" si="0"/>
        <v>TOYS</v>
      </c>
      <c r="D6" t="str">
        <f t="shared" si="1"/>
        <v>IN</v>
      </c>
    </row>
    <row r="7" spans="1:7" x14ac:dyDescent="0.25">
      <c r="A7" t="s">
        <v>52</v>
      </c>
      <c r="B7" t="str">
        <f t="shared" si="0"/>
        <v>FOOD</v>
      </c>
      <c r="D7" t="str">
        <f t="shared" si="1"/>
        <v>AU</v>
      </c>
    </row>
    <row r="8" spans="1:7" x14ac:dyDescent="0.25">
      <c r="A8" t="s">
        <v>53</v>
      </c>
      <c r="B8" t="str">
        <f t="shared" si="0"/>
        <v>HOME</v>
      </c>
      <c r="D8" t="str">
        <f t="shared" si="1"/>
        <v>US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FD77-8DCD-4BD5-B972-3DC18B5E8E2D}">
  <dimension ref="A3:D8"/>
  <sheetViews>
    <sheetView workbookViewId="0"/>
  </sheetViews>
  <sheetFormatPr defaultRowHeight="15" x14ac:dyDescent="0.25"/>
  <cols>
    <col min="1" max="1" width="15.42578125" bestFit="1" customWidth="1"/>
    <col min="2" max="2" width="13.42578125" bestFit="1" customWidth="1"/>
    <col min="3" max="3" width="14.28515625" bestFit="1" customWidth="1"/>
    <col min="4" max="4" width="12.5703125" bestFit="1" customWidth="1"/>
  </cols>
  <sheetData>
    <row r="3" spans="1:4" x14ac:dyDescent="0.25">
      <c r="A3" t="s">
        <v>25</v>
      </c>
      <c r="B3" t="s">
        <v>54</v>
      </c>
      <c r="C3" t="s">
        <v>55</v>
      </c>
      <c r="D3" t="s">
        <v>56</v>
      </c>
    </row>
    <row r="4" spans="1:4" x14ac:dyDescent="0.25">
      <c r="A4" t="s">
        <v>57</v>
      </c>
      <c r="B4" t="str">
        <f>+TRIM(A4)</f>
        <v>john DOE</v>
      </c>
      <c r="C4" t="str">
        <f>+UPPER(B4)</f>
        <v>JOHN DOE</v>
      </c>
      <c r="D4" t="str">
        <f>+PROPER(B4)</f>
        <v>John Doe</v>
      </c>
    </row>
    <row r="5" spans="1:4" x14ac:dyDescent="0.25">
      <c r="A5" t="s">
        <v>58</v>
      </c>
      <c r="B5" t="str">
        <f t="shared" ref="B5:B8" si="0">+TRIM(A5)</f>
        <v>mary jane</v>
      </c>
      <c r="C5" t="str">
        <f t="shared" ref="C5:C8" si="1">+UPPER(B5)</f>
        <v>MARY JANE</v>
      </c>
      <c r="D5" t="str">
        <f t="shared" ref="D5:D8" si="2">+PROPER(B5)</f>
        <v>Mary Jane</v>
      </c>
    </row>
    <row r="6" spans="1:4" x14ac:dyDescent="0.25">
      <c r="A6" t="s">
        <v>59</v>
      </c>
      <c r="B6" t="str">
        <f t="shared" si="0"/>
        <v>robert smith</v>
      </c>
      <c r="C6" t="str">
        <f t="shared" si="1"/>
        <v>ROBERT SMITH</v>
      </c>
      <c r="D6" t="str">
        <f t="shared" si="2"/>
        <v>Robert Smith</v>
      </c>
    </row>
    <row r="7" spans="1:4" x14ac:dyDescent="0.25">
      <c r="A7" t="s">
        <v>60</v>
      </c>
      <c r="B7" t="str">
        <f t="shared" si="0"/>
        <v>lisa Ann</v>
      </c>
      <c r="C7" t="str">
        <f t="shared" si="1"/>
        <v>LISA ANN</v>
      </c>
      <c r="D7" t="str">
        <f t="shared" si="2"/>
        <v>Lisa Ann</v>
      </c>
    </row>
    <row r="8" spans="1:4" x14ac:dyDescent="0.25">
      <c r="A8" t="s">
        <v>61</v>
      </c>
      <c r="B8" t="str">
        <f t="shared" si="0"/>
        <v>david BROWN</v>
      </c>
      <c r="C8" t="str">
        <f t="shared" si="1"/>
        <v>DAVID BROWN</v>
      </c>
      <c r="D8" t="str">
        <f t="shared" si="2"/>
        <v>David Brown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7097-3132-4340-8B3D-AA720B43A29A}">
  <dimension ref="A4:D9"/>
  <sheetViews>
    <sheetView tabSelected="1" workbookViewId="0">
      <selection activeCell="D7" sqref="D7"/>
    </sheetView>
  </sheetViews>
  <sheetFormatPr defaultRowHeight="15" x14ac:dyDescent="0.25"/>
  <cols>
    <col min="1" max="1" width="26.140625" bestFit="1" customWidth="1"/>
    <col min="2" max="2" width="13.7109375" bestFit="1" customWidth="1"/>
    <col min="3" max="3" width="11.85546875" bestFit="1" customWidth="1"/>
    <col min="4" max="4" width="14" bestFit="1" customWidth="1"/>
  </cols>
  <sheetData>
    <row r="4" spans="1:4" x14ac:dyDescent="0.25">
      <c r="A4" t="s">
        <v>62</v>
      </c>
      <c r="B4" t="s">
        <v>63</v>
      </c>
      <c r="C4" t="s">
        <v>64</v>
      </c>
    </row>
    <row r="5" spans="1:4" x14ac:dyDescent="0.25">
      <c r="A5" s="1" t="s">
        <v>65</v>
      </c>
      <c r="B5">
        <f>+FIND(".",A5)+1</f>
        <v>13</v>
      </c>
      <c r="C5">
        <f>+LEN(A5)-FIND(".",A5)</f>
        <v>10</v>
      </c>
      <c r="D5" t="str">
        <f t="shared" ref="D5:D9" si="0">+MID(A5,B5,C5)</f>
        <v>google.com</v>
      </c>
    </row>
    <row r="6" spans="1:4" x14ac:dyDescent="0.25">
      <c r="A6" t="s">
        <v>66</v>
      </c>
      <c r="B6">
        <f t="shared" ref="B6:B9" si="1">+FIND(".",A6)+1</f>
        <v>13</v>
      </c>
      <c r="C6">
        <f t="shared" ref="C6:C9" si="2">+LEN(A6)-FIND(".",A6)</f>
        <v>9</v>
      </c>
      <c r="D6" t="str">
        <f t="shared" si="0"/>
        <v>amazon.in</v>
      </c>
    </row>
    <row r="7" spans="1:4" x14ac:dyDescent="0.25">
      <c r="A7" t="s">
        <v>67</v>
      </c>
      <c r="B7">
        <f t="shared" si="1"/>
        <v>12</v>
      </c>
      <c r="C7">
        <f t="shared" si="2"/>
        <v>11</v>
      </c>
      <c r="D7" t="str">
        <f t="shared" si="0"/>
        <v>example.org</v>
      </c>
    </row>
    <row r="8" spans="1:4" x14ac:dyDescent="0.25">
      <c r="A8" t="s">
        <v>68</v>
      </c>
      <c r="B8">
        <f t="shared" si="1"/>
        <v>13</v>
      </c>
      <c r="C8">
        <f t="shared" si="2"/>
        <v>13</v>
      </c>
      <c r="D8" t="str">
        <f t="shared" si="0"/>
        <v>wikipedia.org</v>
      </c>
    </row>
    <row r="9" spans="1:4" x14ac:dyDescent="0.25">
      <c r="A9" t="s">
        <v>69</v>
      </c>
      <c r="B9">
        <f t="shared" si="1"/>
        <v>12</v>
      </c>
      <c r="C9">
        <f t="shared" si="2"/>
        <v>13</v>
      </c>
      <c r="D9" t="str">
        <f t="shared" si="0"/>
        <v>company.co.uk</v>
      </c>
    </row>
  </sheetData>
  <hyperlinks>
    <hyperlink ref="A6" r:id="rId1" display="https://www.amazon.in/" xr:uid="{4EEA43CC-2BAB-443B-A2CF-7F190893871D}"/>
    <hyperlink ref="A7" r:id="rId2" display="http://www.example.org/" xr:uid="{E8C4E400-BE63-4B24-B0C5-0BF137F7DEBA}"/>
    <hyperlink ref="A8" r:id="rId3" display="https://www.wikipedia.org/" xr:uid="{1C8D4481-2944-4F69-8491-43954DE95EA6}"/>
    <hyperlink ref="A9" r:id="rId4" display="http://www.company.co.uk/" xr:uid="{1093DEFB-66A1-4473-BB67-B0932A59DB7E}"/>
  </hyperlinks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8BE-786B-460D-B44D-7807EB3299C8}">
  <dimension ref="A1:G6"/>
  <sheetViews>
    <sheetView workbookViewId="0">
      <selection activeCell="D2" sqref="D2"/>
    </sheetView>
  </sheetViews>
  <sheetFormatPr defaultRowHeight="15" x14ac:dyDescent="0.25"/>
  <cols>
    <col min="1" max="1" width="16" bestFit="1" customWidth="1"/>
    <col min="2" max="2" width="14.5703125" bestFit="1" customWidth="1"/>
    <col min="3" max="3" width="13.140625" bestFit="1" customWidth="1"/>
    <col min="4" max="4" width="8.28515625" bestFit="1" customWidth="1"/>
    <col min="6" max="7" width="10.42578125" bestFit="1" customWidth="1"/>
  </cols>
  <sheetData>
    <row r="1" spans="1:7" x14ac:dyDescent="0.25">
      <c r="A1" t="s">
        <v>77</v>
      </c>
      <c r="B1" t="s">
        <v>76</v>
      </c>
      <c r="C1" t="s">
        <v>48</v>
      </c>
      <c r="D1" t="s">
        <v>75</v>
      </c>
    </row>
    <row r="2" spans="1:7" x14ac:dyDescent="0.25">
      <c r="A2" t="s">
        <v>74</v>
      </c>
      <c r="B2" t="str">
        <f>+TRIM(SUBSTITUTE(A2,"-",""))</f>
        <v>+1 9876543210</v>
      </c>
      <c r="C2" t="str">
        <f>+LEFT(B2,FIND(" ",B2)-1)</f>
        <v>+1</v>
      </c>
      <c r="D2">
        <f>+FIND(" ",B2)</f>
        <v>3</v>
      </c>
      <c r="E2">
        <f>+LEN(B2)-FIND(" ",B2)</f>
        <v>10</v>
      </c>
      <c r="F2" t="str">
        <f>+MID(B2,D2,E2)</f>
        <v xml:space="preserve"> 987654321</v>
      </c>
      <c r="G2" t="str">
        <f>+MID(B2,FIND(" ",B2),LEN(B2)-FIND(" ",B2))</f>
        <v xml:space="preserve"> 987654321</v>
      </c>
    </row>
    <row r="3" spans="1:7" x14ac:dyDescent="0.25">
      <c r="A3" t="s">
        <v>73</v>
      </c>
      <c r="B3" t="str">
        <f>+TRIM(SUBSTITUTE(A3,"-",""))</f>
        <v>+44 1234567890</v>
      </c>
      <c r="C3" t="str">
        <f>+LEFT(B3,FIND(" ",B3)-1)</f>
        <v>+44</v>
      </c>
      <c r="D3">
        <f>+FIND(" ",B3)</f>
        <v>4</v>
      </c>
      <c r="E3">
        <f>+LEN(B3)-FIND(" ",B3)</f>
        <v>10</v>
      </c>
      <c r="F3" t="str">
        <f>+MID(B3,D3,E3)</f>
        <v xml:space="preserve"> 123456789</v>
      </c>
      <c r="G3" t="str">
        <f>+MID(B3,FIND(" ",B3),LEN(B3)-FIND(" ",B3))</f>
        <v xml:space="preserve"> 123456789</v>
      </c>
    </row>
    <row r="4" spans="1:7" x14ac:dyDescent="0.25">
      <c r="A4" t="s">
        <v>72</v>
      </c>
      <c r="B4" t="str">
        <f>+TRIM(SUBSTITUTE(A4,"-",""))</f>
        <v>+91 9876543210</v>
      </c>
      <c r="C4" t="str">
        <f>+LEFT(B4,FIND(" ",B4)-1)</f>
        <v>+91</v>
      </c>
      <c r="D4">
        <f>+FIND(" ",B4)</f>
        <v>4</v>
      </c>
      <c r="E4">
        <f>+LEN(B4)-FIND(" ",B4)</f>
        <v>10</v>
      </c>
      <c r="F4" t="str">
        <f>+MID(B4,D4,E4)</f>
        <v xml:space="preserve"> 987654321</v>
      </c>
      <c r="G4" t="str">
        <f>+MID(B4,FIND(" ",B4),LEN(B4)-FIND(" ",B4))</f>
        <v xml:space="preserve"> 987654321</v>
      </c>
    </row>
    <row r="5" spans="1:7" x14ac:dyDescent="0.25">
      <c r="A5" t="s">
        <v>71</v>
      </c>
      <c r="B5" t="str">
        <f>+TRIM(SUBSTITUTE(A5,"-",""))</f>
        <v>+61 412345678</v>
      </c>
      <c r="C5" t="str">
        <f>+LEFT(B5,FIND(" ",B5)-1)</f>
        <v>+61</v>
      </c>
      <c r="D5">
        <f>+FIND(" ",B5)</f>
        <v>4</v>
      </c>
      <c r="E5">
        <f>+LEN(B5)-FIND(" ",B5)</f>
        <v>9</v>
      </c>
      <c r="F5" t="str">
        <f>+MID(B5,D5,E5)</f>
        <v xml:space="preserve"> 41234567</v>
      </c>
      <c r="G5" t="str">
        <f>+MID(B5,FIND(" ",B5),LEN(B5)-FIND(" ",B5))</f>
        <v xml:space="preserve"> 41234567</v>
      </c>
    </row>
    <row r="6" spans="1:7" x14ac:dyDescent="0.25">
      <c r="A6" t="s">
        <v>70</v>
      </c>
      <c r="B6" t="str">
        <f>+TRIM(SUBSTITUTE(A6,"-",""))</f>
        <v>+49 1512345678</v>
      </c>
      <c r="C6" t="str">
        <f>+LEFT(B6,FIND(" ",B6)-1)</f>
        <v>+49</v>
      </c>
      <c r="D6">
        <f>+FIND(" ",B6)</f>
        <v>4</v>
      </c>
      <c r="E6">
        <f>+LEN(B6)-FIND(" ",B6)</f>
        <v>10</v>
      </c>
      <c r="F6" t="str">
        <f>+MID(B6,D6,E6)</f>
        <v xml:space="preserve"> 151234567</v>
      </c>
      <c r="G6" t="str">
        <f>+MID(B6,FIND(" ",B6),LEN(B6)-FIND(" ",B6))</f>
        <v xml:space="preserve"> 151234567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2026-01-25T05:47:36Z</dcterms:created>
  <dcterms:modified xsi:type="dcterms:W3CDTF">2026-02-01T07:23:35Z</dcterms:modified>
</cp:coreProperties>
</file>
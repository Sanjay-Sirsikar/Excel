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ASDC35\Downloads\"/>
    </mc:Choice>
  </mc:AlternateContent>
  <xr:revisionPtr revIDLastSave="0" documentId="13_ncr:1_{E6E22D4C-2D67-4618-84B5-B6FEF00665F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structions" sheetId="1" r:id="rId1"/>
    <sheet name="Sheet1" sheetId="6" r:id="rId2"/>
    <sheet name="Sales_Data" sheetId="2" r:id="rId3"/>
    <sheet name="Product_Master" sheetId="3" r:id="rId4"/>
    <sheet name="123" sheetId="4" r:id="rId5"/>
    <sheet name="Questions" sheetId="5" r:id="rId6"/>
  </sheets>
  <definedNames>
    <definedName name="_xlnm._FilterDatabase" localSheetId="2" hidden="1">Sales_Data!$A$15:$J$21</definedName>
  </definedName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7" i="2" l="1"/>
  <c r="Q8" i="2"/>
  <c r="Q9" i="2"/>
  <c r="Q10" i="2"/>
  <c r="Q11" i="2"/>
  <c r="Q6" i="2"/>
  <c r="C24" i="2"/>
  <c r="O16" i="2" a="1"/>
  <c r="O16" i="2" s="1"/>
  <c r="P7" i="2"/>
  <c r="P8" i="2"/>
  <c r="P9" i="2"/>
  <c r="P10" i="2"/>
  <c r="P11" i="2"/>
  <c r="P6" i="2"/>
  <c r="K7" i="4"/>
  <c r="K6" i="4"/>
  <c r="K5" i="4"/>
  <c r="K4" i="4"/>
  <c r="K3" i="4"/>
  <c r="D11" i="4"/>
  <c r="D10" i="4"/>
  <c r="J7" i="4"/>
  <c r="J6" i="4"/>
  <c r="J5" i="4"/>
  <c r="J4" i="4"/>
  <c r="J3" i="4"/>
  <c r="D9" i="4"/>
  <c r="H4" i="4"/>
  <c r="H5" i="4"/>
  <c r="H6" i="4"/>
  <c r="H7" i="4"/>
  <c r="H3" i="4"/>
  <c r="G4" i="4"/>
  <c r="G5" i="4"/>
  <c r="G6" i="4"/>
  <c r="G7" i="4"/>
  <c r="G3" i="4"/>
  <c r="M17" i="2"/>
  <c r="M18" i="2"/>
  <c r="M19" i="2"/>
  <c r="M20" i="2"/>
  <c r="M21" i="2"/>
  <c r="M16" i="2"/>
  <c r="E4" i="3"/>
  <c r="E3" i="3"/>
  <c r="E2" i="3"/>
  <c r="D3" i="3"/>
  <c r="D4" i="3"/>
  <c r="D2" i="3"/>
  <c r="H17" i="2"/>
  <c r="I17" i="2" s="1"/>
  <c r="J17" i="2" s="1"/>
  <c r="H19" i="2"/>
  <c r="I19" i="2" s="1"/>
  <c r="H21" i="2"/>
  <c r="H20" i="2"/>
  <c r="H18" i="2"/>
  <c r="H16" i="2"/>
  <c r="L6" i="2"/>
  <c r="O7" i="2"/>
  <c r="O8" i="2"/>
  <c r="O9" i="2"/>
  <c r="O10" i="2"/>
  <c r="O11" i="2"/>
  <c r="O6" i="2"/>
  <c r="K11" i="2"/>
  <c r="K10" i="2"/>
  <c r="K9" i="2"/>
  <c r="K8" i="2"/>
  <c r="K7" i="2"/>
  <c r="K6" i="2"/>
  <c r="H7" i="2"/>
  <c r="I7" i="2" s="1"/>
  <c r="H8" i="2"/>
  <c r="I8" i="2" s="1"/>
  <c r="H9" i="2"/>
  <c r="I9" i="2" s="1"/>
  <c r="H10" i="2"/>
  <c r="I10" i="2" s="1"/>
  <c r="H11" i="2"/>
  <c r="H6" i="2"/>
  <c r="I6" i="2" s="1"/>
  <c r="J32" i="5"/>
  <c r="J8" i="2" l="1"/>
  <c r="J7" i="2"/>
  <c r="N9" i="2"/>
  <c r="H1" i="4"/>
  <c r="I3" i="4" s="1"/>
  <c r="I16" i="2"/>
  <c r="J16" i="2" s="1"/>
  <c r="J19" i="2"/>
  <c r="I18" i="2"/>
  <c r="J18" i="2" s="1"/>
  <c r="I20" i="2"/>
  <c r="J20" i="2" s="1"/>
  <c r="I21" i="2"/>
  <c r="J21" i="2" s="1"/>
  <c r="N7" i="2"/>
  <c r="N6" i="2"/>
  <c r="N8" i="2"/>
  <c r="H4" i="2"/>
  <c r="I11" i="2"/>
  <c r="I4" i="2" s="1"/>
  <c r="J10" i="2"/>
  <c r="J6" i="2"/>
  <c r="J9" i="2"/>
  <c r="I4" i="4" l="1"/>
  <c r="I5" i="4"/>
  <c r="I6" i="4"/>
  <c r="I7" i="4"/>
  <c r="N4" i="2"/>
  <c r="J11" i="2"/>
  <c r="J4" i="2" l="1"/>
  <c r="J1" i="2"/>
  <c r="J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<sst xmlns="http://schemas.openxmlformats.org/spreadsheetml/2006/main" count="172" uniqueCount="100">
  <si>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</si>
  <si>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</si>
  <si>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</si>
  <si>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</si>
  <si>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</si>
  <si>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</si>
  <si>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</si>
  <si>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</si>
  <si>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</si>
  <si>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</si>
  <si>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</si>
  <si>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</si>
  <si>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</si>
  <si>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</si>
  <si>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</si>
  <si>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</si>
  <si>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</si>
  <si>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</si>
  <si>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</si>
  <si>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</si>
  <si>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</si>
  <si>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</si>
  <si>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</si>
  <si>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</si>
  <si>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</si>
  <si>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</si>
  <si>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</si>
  <si>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</si>
  <si>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</si>
  <si>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</si>
  <si>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</si>
  <si>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</si>
  <si>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</si>
  <si>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</si>
  <si>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</si>
  <si>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</si>
  <si>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</si>
  <si>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</si>
  <si>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</si>
  <si>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</si>
  <si>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</si>
  <si>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</si>
  <si>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</si>
  <si>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</si>
  <si>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</si>
  <si>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</si>
  <si>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</si>
  <si>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</si>
  <si>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</si>
  <si>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</si>
  <si>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</si>
  <si>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</si>
  <si>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</si>
  <si>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</si>
  <si>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</si>
  <si>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</si>
  <si>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</si>
  <si>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</si>
  <si>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</si>
  <si>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</si>
  <si>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</si>
  <si>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</si>
  <si>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</si>
  <si>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</si>
  <si>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</si>
  <si>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</si>
  <si>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</si>
  <si>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</si>
  <si>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</si>
  <si>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</si>
  <si>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</si>
  <si>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</si>
  <si>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</si>
  <si>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Total Sales</t>
  </si>
  <si>
    <t>GST Amount</t>
  </si>
  <si>
    <t>Final Payable Amount</t>
  </si>
  <si>
    <t>Grand Total</t>
  </si>
  <si>
    <t>4 - &gt;</t>
  </si>
  <si>
    <t>Total Orders</t>
  </si>
  <si>
    <t>Classify Qty</t>
  </si>
  <si>
    <t>Min Amount</t>
  </si>
  <si>
    <t>Max Amount</t>
  </si>
  <si>
    <t>Month</t>
  </si>
  <si>
    <t>Index_Matc</t>
  </si>
  <si>
    <t>Total Marks</t>
  </si>
  <si>
    <t>Avg Marks</t>
  </si>
  <si>
    <t>Top Performer</t>
  </si>
  <si>
    <t>Count of Student</t>
  </si>
  <si>
    <t>&gt;90%</t>
  </si>
  <si>
    <t>Eligible Criteria</t>
  </si>
  <si>
    <t>Row Labels</t>
  </si>
  <si>
    <t>Sum of Total Sales</t>
  </si>
  <si>
    <t>Median of Stats</t>
  </si>
  <si>
    <t>Std. Dev. Of Excel</t>
  </si>
  <si>
    <t>STD ID &amp; Name</t>
  </si>
  <si>
    <t>Left</t>
  </si>
  <si>
    <t>North Region Laptop Order</t>
  </si>
  <si>
    <t>Round</t>
  </si>
  <si>
    <t>Remove Duplicate</t>
  </si>
  <si>
    <t>No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</si>
</sst>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6" fontId="3" fillId="2" borderId="0" xfId="0" applyNumberFormat="1" applyFont="1" applyFill="1" applyAlignment="1">
      <alignment horizontal="center" vertical="center"/>
    </xf>
    <xf numFmtId="6" fontId="2" fillId="3" borderId="0" xfId="0" applyNumberFormat="1" applyFont="1" applyFill="1" applyAlignment="1">
      <alignment horizontal="center" vertical="center"/>
    </xf>
    <xf numFmtId="6" fontId="3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6" fontId="3" fillId="0" borderId="0" xfId="0" applyNumberFormat="1" applyFont="1" applyFill="1" applyAlignment="1">
      <alignment horizontal="center" vertical="center"/>
    </xf>
    <xf numFmtId="0" fontId="0" fillId="0" borderId="0" xfId="0" applyProtection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(1).xlsx]Sheet1!PivotTable1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Sheet1!$B$4:$B$7</c:f>
              <c:numCache>
                <c:formatCode>"₹"#,##0_);[Red]\("₹"#,##0\)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4-4F82-B374-CCEA9F120E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47"/>
        <c:overlap val="-70"/>
        <c:axId val="1042828432"/>
        <c:axId val="1042830512"/>
      </c:barChart>
      <c:catAx>
        <c:axId val="104282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30512"/>
        <c:crosses val="autoZero"/>
        <c:auto val="1"/>
        <c:lblAlgn val="ctr"/>
        <c:lblOffset val="100"/>
        <c:noMultiLvlLbl val="0"/>
      </c:catAx>
      <c:valAx>
        <c:axId val="1042830512"/>
        <c:scaling>
          <c:orientation val="minMax"/>
        </c:scaling>
        <c:delete val="1"/>
        <c:axPos val="l"/>
        <c:numFmt formatCode="&quot;₹&quot;#,##0_);[Red]\(&quot;₹&quot;#,##0\)" sourceLinked="1"/>
        <c:majorTickMark val="none"/>
        <c:minorTickMark val="none"/>
        <c:tickLblPos val="nextTo"/>
        <c:crossAx val="104282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wise</a:t>
            </a:r>
            <a:r>
              <a:rPr lang="en-IN" baseline="0"/>
              <a:t> excel marks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'123'!$B$3</c:f>
              <c:strCache>
                <c:ptCount val="1"/>
                <c:pt idx="0">
                  <c:v>Rahul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'123'!$E$2</c:f>
              <c:strCache>
                <c:ptCount val="1"/>
                <c:pt idx="0">
                  <c:v>Excel</c:v>
                </c:pt>
              </c:strCache>
            </c:strRef>
          </c:cat>
          <c:val>
            <c:numRef>
              <c:f>'123'!$E$3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4-46CD-BBAD-2BA29AD75648}"/>
            </c:ext>
          </c:extLst>
        </c:ser>
        <c:ser>
          <c:idx val="1"/>
          <c:order val="1"/>
          <c:tx>
            <c:strRef>
              <c:f>'123'!$B$4</c:f>
              <c:strCache>
                <c:ptCount val="1"/>
                <c:pt idx="0">
                  <c:v>Sneha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'123'!$E$2</c:f>
              <c:strCache>
                <c:ptCount val="1"/>
                <c:pt idx="0">
                  <c:v>Excel</c:v>
                </c:pt>
              </c:strCache>
            </c:strRef>
          </c:cat>
          <c:val>
            <c:numRef>
              <c:f>'123'!$E$4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4-46CD-BBAD-2BA29AD75648}"/>
            </c:ext>
          </c:extLst>
        </c:ser>
        <c:ser>
          <c:idx val="2"/>
          <c:order val="2"/>
          <c:tx>
            <c:strRef>
              <c:f>'123'!$B$5</c:f>
              <c:strCache>
                <c:ptCount val="1"/>
                <c:pt idx="0">
                  <c:v>Arjun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'123'!$E$2</c:f>
              <c:strCache>
                <c:ptCount val="1"/>
                <c:pt idx="0">
                  <c:v>Excel</c:v>
                </c:pt>
              </c:strCache>
            </c:strRef>
          </c:cat>
          <c:val>
            <c:numRef>
              <c:f>'123'!$E$5</c:f>
              <c:numCache>
                <c:formatCode>General</c:formatCode>
                <c:ptCount val="1"/>
                <c:pt idx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D4-46CD-BBAD-2BA29AD75648}"/>
            </c:ext>
          </c:extLst>
        </c:ser>
        <c:ser>
          <c:idx val="3"/>
          <c:order val="3"/>
          <c:tx>
            <c:strRef>
              <c:f>'123'!$B$6</c:f>
              <c:strCache>
                <c:ptCount val="1"/>
                <c:pt idx="0">
                  <c:v>Pooja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'123'!$E$2</c:f>
              <c:strCache>
                <c:ptCount val="1"/>
                <c:pt idx="0">
                  <c:v>Excel</c:v>
                </c:pt>
              </c:strCache>
            </c:strRef>
          </c:cat>
          <c:val>
            <c:numRef>
              <c:f>'123'!$E$6</c:f>
              <c:numCache>
                <c:formatCode>General</c:formatCode>
                <c:ptCount val="1"/>
                <c:pt idx="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D4-46CD-BBAD-2BA29AD75648}"/>
            </c:ext>
          </c:extLst>
        </c:ser>
        <c:ser>
          <c:idx val="4"/>
          <c:order val="4"/>
          <c:tx>
            <c:strRef>
              <c:f>'123'!$B$7</c:f>
              <c:strCache>
                <c:ptCount val="1"/>
                <c:pt idx="0">
                  <c:v>Vikas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'123'!$E$2</c:f>
              <c:strCache>
                <c:ptCount val="1"/>
                <c:pt idx="0">
                  <c:v>Excel</c:v>
                </c:pt>
              </c:strCache>
            </c:strRef>
          </c:cat>
          <c:val>
            <c:numRef>
              <c:f>'123'!$E$7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D4-46CD-BBAD-2BA29AD756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042818864"/>
        <c:axId val="1042834256"/>
      </c:barChart>
      <c:catAx>
        <c:axId val="1042818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2834256"/>
        <c:crosses val="autoZero"/>
        <c:auto val="1"/>
        <c:lblAlgn val="ctr"/>
        <c:lblOffset val="100"/>
        <c:noMultiLvlLbl val="0"/>
      </c:catAx>
      <c:valAx>
        <c:axId val="1042834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281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10</xdr:row>
      <xdr:rowOff>166687</xdr:rowOff>
    </xdr:from>
    <xdr:to>
      <xdr:col>6</xdr:col>
      <xdr:colOff>128587</xdr:colOff>
      <xdr:row>25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DEEA02-A7BF-91B4-E8D0-E1246C2CA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13</xdr:row>
      <xdr:rowOff>61912</xdr:rowOff>
    </xdr:from>
    <xdr:to>
      <xdr:col>7</xdr:col>
      <xdr:colOff>147637</xdr:colOff>
      <xdr:row>27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1B2287-9DF3-FDC3-2A15-9296BABB5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5" refreshedDate="46166.421559259259" createdVersion="8" refreshedVersion="8" minRefreshableVersion="3" recordCount="6" xr:uid="{05AC1937-3160-4830-B003-27DAF0D31CE1}">
  <cacheSource type="worksheet">
    <worksheetSource ref="A5:O11" sheet="Sales_Data"/>
  </cacheSource>
  <cacheFields count="15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6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6">
      <sharedItems containsSemiMixedTypes="0" containsString="0" containsNumber="1" containsInteger="1" minValue="45000" maxValue="90000"/>
    </cacheField>
    <cacheField name="GST Amount" numFmtId="6">
      <sharedItems containsSemiMixedTypes="0" containsString="0" containsNumber="1" containsInteger="1" minValue="6480" maxValue="16200"/>
    </cacheField>
    <cacheField name="Final Payable Amount" numFmtId="6">
      <sharedItems containsSemiMixedTypes="0" containsString="0" containsNumber="1" containsInteger="1" minValue="53100" maxValue="106200"/>
    </cacheField>
    <cacheField name="Classify Qty" numFmtId="6">
      <sharedItems/>
    </cacheField>
    <cacheField name="Total Orders" numFmtId="0">
      <sharedItems containsString="0" containsBlank="1" containsNumber="1" containsInteger="1" minValue="6" maxValue="6"/>
    </cacheField>
    <cacheField name="Region2" numFmtId="0">
      <sharedItems containsBlank="1"/>
    </cacheField>
    <cacheField name="Total Sales2" numFmtId="0">
      <sharedItems containsString="0" containsBlank="1" containsNumber="1" containsInteger="1" minValue="45000" maxValue="165000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90000"/>
    <n v="16200"/>
    <n v="106200"/>
    <s v="Low"/>
    <n v="6"/>
    <s v="North"/>
    <n v="150000"/>
    <s v="Jan"/>
  </r>
  <r>
    <n v="302"/>
    <x v="1"/>
    <s v="Riya"/>
    <x v="1"/>
    <n v="5"/>
    <n v="15000"/>
    <s v="07-01-2025"/>
    <n v="75000"/>
    <n v="9000"/>
    <n v="84000"/>
    <s v="High"/>
    <m/>
    <s v="East"/>
    <n v="54000"/>
    <s v="Jan"/>
  </r>
  <r>
    <n v="303"/>
    <x v="2"/>
    <s v="Kunal"/>
    <x v="2"/>
    <n v="3"/>
    <n v="18000"/>
    <s v="10-01-2025"/>
    <n v="54000"/>
    <n v="6480"/>
    <n v="60480"/>
    <s v="Low"/>
    <m/>
    <s v="West"/>
    <n v="45000"/>
    <s v="Jan"/>
  </r>
  <r>
    <n v="304"/>
    <x v="3"/>
    <s v="Neha"/>
    <x v="0"/>
    <n v="1"/>
    <n v="45000"/>
    <s v="12-01-2025"/>
    <n v="45000"/>
    <n v="8100"/>
    <n v="53100"/>
    <s v="Low"/>
    <m/>
    <s v="South"/>
    <n v="165000"/>
    <s v="Jan"/>
  </r>
  <r>
    <n v="305"/>
    <x v="0"/>
    <s v="Amit"/>
    <x v="1"/>
    <n v="4"/>
    <n v="15000"/>
    <s v="15-01-2025"/>
    <n v="60000"/>
    <n v="7200"/>
    <n v="67200"/>
    <s v="High"/>
    <m/>
    <m/>
    <m/>
    <s v="Jan"/>
  </r>
  <r>
    <n v="306"/>
    <x v="1"/>
    <s v="Riya"/>
    <x v="0"/>
    <n v="2"/>
    <n v="45000"/>
    <s v="18-01-2025"/>
    <n v="90000"/>
    <n v="16200"/>
    <n v="106200"/>
    <s v="Low"/>
    <m/>
    <m/>
    <m/>
    <s v="J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1A9B5-F764-4E46-B790-BED617EF19F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P8" firstHeaderRow="1" firstDataRow="1" firstDataCol="1"/>
  <pivotFields count="15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6" showAll="0"/>
    <pivotField showAll="0"/>
    <pivotField dataField="1" numFmtId="6" showAll="0"/>
    <pivotField numFmtId="6" showAll="0"/>
    <pivotField numFmtId="6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3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F1CAB-8288-4944-8F38-EB6B80C8CD4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5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6" showAll="0"/>
    <pivotField showAll="0"/>
    <pivotField dataField="1" numFmtId="6" showAll="0"/>
    <pivotField numFmtId="6" showAll="0"/>
    <pivotField numFmtId="6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3" baseItem="0" numFmtId="6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7EC6-BF42-4CBC-8539-7DF244A341FE}">
  <dimension ref="A3:P8"/>
  <sheetViews>
    <sheetView showGridLines="0" workbookViewId="0">
      <selection activeCell="I23" sqref="I23"/>
    </sheetView>
  </sheetViews>
  <sheetFormatPr defaultRowHeight="15" x14ac:dyDescent="0.25"/>
  <cols>
    <col min="1" max="1" width="13.140625" bestFit="1" customWidth="1"/>
    <col min="2" max="2" width="17.28515625" bestFit="1" customWidth="1"/>
    <col min="9" max="9" width="13.140625" bestFit="1" customWidth="1"/>
    <col min="10" max="10" width="17.28515625" bestFit="1" customWidth="1"/>
    <col min="15" max="15" width="13.140625" bestFit="1" customWidth="1"/>
    <col min="16" max="16" width="17.28515625" bestFit="1" customWidth="1"/>
  </cols>
  <sheetData>
    <row r="3" spans="1:16" x14ac:dyDescent="0.25">
      <c r="A3" s="13" t="s">
        <v>90</v>
      </c>
      <c r="B3" t="s">
        <v>91</v>
      </c>
      <c r="O3" s="13" t="s">
        <v>90</v>
      </c>
      <c r="P3" t="s">
        <v>91</v>
      </c>
    </row>
    <row r="4" spans="1:16" x14ac:dyDescent="0.25">
      <c r="A4" s="14" t="s">
        <v>13</v>
      </c>
      <c r="B4" s="15">
        <v>225000</v>
      </c>
      <c r="O4" s="14" t="s">
        <v>19</v>
      </c>
      <c r="P4" s="15">
        <v>54000</v>
      </c>
    </row>
    <row r="5" spans="1:16" x14ac:dyDescent="0.25">
      <c r="A5" s="14" t="s">
        <v>17</v>
      </c>
      <c r="B5" s="15">
        <v>135000</v>
      </c>
      <c r="O5" s="14" t="s">
        <v>11</v>
      </c>
      <c r="P5" s="15">
        <v>150000</v>
      </c>
    </row>
    <row r="6" spans="1:16" x14ac:dyDescent="0.25">
      <c r="A6" s="14" t="s">
        <v>21</v>
      </c>
      <c r="B6" s="15">
        <v>54000</v>
      </c>
      <c r="O6" s="14" t="s">
        <v>15</v>
      </c>
      <c r="P6" s="15">
        <v>165000</v>
      </c>
    </row>
    <row r="7" spans="1:16" x14ac:dyDescent="0.25">
      <c r="A7" s="14" t="s">
        <v>76</v>
      </c>
      <c r="B7" s="15">
        <v>414000</v>
      </c>
      <c r="O7" s="14" t="s">
        <v>23</v>
      </c>
      <c r="P7" s="15">
        <v>45000</v>
      </c>
    </row>
    <row r="8" spans="1:16" x14ac:dyDescent="0.25">
      <c r="O8" s="14" t="s">
        <v>76</v>
      </c>
      <c r="P8" s="15">
        <v>414000</v>
      </c>
    </row>
  </sheetData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workbookViewId="0">
      <pane ySplit="5" topLeftCell="A6" activePane="bottomLeft" state="frozen"/>
      <selection pane="bottomLeft" activeCell="R6" sqref="R6"/>
    </sheetView>
  </sheetViews>
  <sheetFormatPr defaultRowHeight="15" x14ac:dyDescent="0.25"/>
  <cols>
    <col min="1" max="1" width="13.5703125" style="1" bestFit="1" customWidth="1"/>
    <col min="2" max="2" width="11.7109375" style="1" bestFit="1" customWidth="1"/>
    <col min="3" max="3" width="16.28515625" style="1" bestFit="1" customWidth="1"/>
    <col min="4" max="4" width="12.42578125" style="1" bestFit="1" customWidth="1"/>
    <col min="5" max="5" width="13.28515625" style="1" bestFit="1" customWidth="1"/>
    <col min="6" max="6" width="13.7109375" style="1" bestFit="1" customWidth="1"/>
    <col min="7" max="7" width="15.28515625" style="1" bestFit="1" customWidth="1"/>
    <col min="8" max="8" width="10.7109375" style="1" bestFit="1" customWidth="1"/>
    <col min="9" max="9" width="16.5703125" style="1" bestFit="1" customWidth="1"/>
    <col min="10" max="10" width="13.28515625" style="1" bestFit="1" customWidth="1"/>
    <col min="11" max="11" width="10.5703125" style="1" bestFit="1" customWidth="1"/>
    <col min="12" max="12" width="9" style="1" bestFit="1" customWidth="1"/>
    <col min="13" max="13" width="11.28515625" style="1" bestFit="1" customWidth="1"/>
    <col min="14" max="14" width="10.28515625" style="1" bestFit="1" customWidth="1"/>
    <col min="15" max="15" width="8.42578125" style="1" bestFit="1" customWidth="1"/>
    <col min="16" max="16384" width="9.140625" style="1"/>
  </cols>
  <sheetData>
    <row r="1" spans="1:18" x14ac:dyDescent="0.25">
      <c r="H1" s="1">
        <v>8</v>
      </c>
      <c r="I1" s="12" t="s">
        <v>81</v>
      </c>
      <c r="J1" s="2">
        <f>+MAX(J6:J11)</f>
        <v>106200</v>
      </c>
    </row>
    <row r="2" spans="1:18" x14ac:dyDescent="0.25">
      <c r="H2" s="1">
        <v>8</v>
      </c>
      <c r="I2" s="11" t="s">
        <v>80</v>
      </c>
      <c r="J2" s="2">
        <f>+MIN(J6:J11)</f>
        <v>53100</v>
      </c>
    </row>
    <row r="3" spans="1:18" x14ac:dyDescent="0.25">
      <c r="H3" s="1">
        <v>1</v>
      </c>
      <c r="I3" s="1">
        <v>2</v>
      </c>
      <c r="J3" s="1">
        <v>3</v>
      </c>
    </row>
    <row r="4" spans="1:18" x14ac:dyDescent="0.25">
      <c r="F4" s="1" t="s">
        <v>77</v>
      </c>
      <c r="G4" s="1" t="s">
        <v>76</v>
      </c>
      <c r="H4" s="3">
        <f>+SUBTOTAL(9,H6:H11)</f>
        <v>414000</v>
      </c>
      <c r="I4" s="5">
        <f t="shared" ref="I4:J4" si="0">+SUBTOTAL(9,I6:I11)</f>
        <v>63180</v>
      </c>
      <c r="J4" s="3">
        <f t="shared" si="0"/>
        <v>477180</v>
      </c>
      <c r="K4" s="1">
        <v>7</v>
      </c>
      <c r="L4" s="1">
        <v>5</v>
      </c>
      <c r="M4" s="1">
        <v>6</v>
      </c>
      <c r="N4" s="3">
        <f>+SUBTOTAL(9,N6:N9)</f>
        <v>414000</v>
      </c>
      <c r="O4" s="1">
        <v>9</v>
      </c>
    </row>
    <row r="5" spans="1:18" s="10" customFormat="1" ht="45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7" t="s">
        <v>73</v>
      </c>
      <c r="I5" s="8" t="s">
        <v>74</v>
      </c>
      <c r="J5" s="9" t="s">
        <v>75</v>
      </c>
      <c r="K5" s="7" t="s">
        <v>79</v>
      </c>
      <c r="L5" s="6" t="s">
        <v>78</v>
      </c>
      <c r="M5" s="6" t="s">
        <v>5</v>
      </c>
      <c r="N5" s="6" t="s">
        <v>73</v>
      </c>
      <c r="O5" s="10" t="s">
        <v>82</v>
      </c>
      <c r="P5" s="10" t="s">
        <v>95</v>
      </c>
      <c r="Q5" s="10" t="s">
        <v>97</v>
      </c>
      <c r="R5" s="10" t="s">
        <v>98</v>
      </c>
    </row>
    <row r="6" spans="1:18" x14ac:dyDescent="0.25">
      <c r="A6" s="1">
        <v>301</v>
      </c>
      <c r="B6" s="1" t="s">
        <v>11</v>
      </c>
      <c r="C6" s="1" t="s">
        <v>12</v>
      </c>
      <c r="D6" s="1" t="s">
        <v>13</v>
      </c>
      <c r="E6" s="1">
        <v>2</v>
      </c>
      <c r="F6" s="2">
        <v>45000</v>
      </c>
      <c r="G6" s="1" t="s">
        <v>14</v>
      </c>
      <c r="H6" s="3">
        <f t="shared" ref="H6:H11" si="1">+F6*E6</f>
        <v>90000</v>
      </c>
      <c r="I6" s="4">
        <f>+(VLOOKUP($D6,Product_Master!$A$1:$C$4,3,0)*H6)/100</f>
        <v>16200</v>
      </c>
      <c r="J6" s="16">
        <f t="shared" ref="J6:J11" si="2">+ROUND(SUM(H6:I6),0)</f>
        <v>106200</v>
      </c>
      <c r="K6" s="3" t="str">
        <f t="shared" ref="K6:K11" si="3">+IF(E6&gt;3,"High","Low")</f>
        <v>Low</v>
      </c>
      <c r="L6" s="1">
        <f>+COUNTA(A6:A11)</f>
        <v>6</v>
      </c>
      <c r="M6" s="1" t="s">
        <v>11</v>
      </c>
      <c r="N6" s="4">
        <f>+SUMIF($B$6:$B$11,$M6,$H$6:$H$11)</f>
        <v>150000</v>
      </c>
      <c r="O6" s="1" t="str">
        <f t="shared" ref="O6:O11" si="4">+TEXT(G6,"MMM")</f>
        <v>Jan</v>
      </c>
      <c r="P6" s="1" t="str">
        <f>+LEFT(C6,2)</f>
        <v>Am</v>
      </c>
      <c r="Q6" s="2">
        <f>+ROUND(F6,-3)</f>
        <v>45000</v>
      </c>
      <c r="R6" s="1" t="s">
        <v>99</v>
      </c>
    </row>
    <row r="7" spans="1:18" x14ac:dyDescent="0.25">
      <c r="A7" s="1">
        <v>302</v>
      </c>
      <c r="B7" s="1" t="s">
        <v>15</v>
      </c>
      <c r="C7" s="1" t="s">
        <v>16</v>
      </c>
      <c r="D7" s="1" t="s">
        <v>17</v>
      </c>
      <c r="E7" s="1">
        <v>5</v>
      </c>
      <c r="F7" s="2">
        <v>15000</v>
      </c>
      <c r="G7" s="1" t="s">
        <v>18</v>
      </c>
      <c r="H7" s="3">
        <f t="shared" si="1"/>
        <v>75000</v>
      </c>
      <c r="I7" s="4">
        <f>+(VLOOKUP($D7,Product_Master!$A$1:$C$4,3,0)*H7)/100</f>
        <v>9000</v>
      </c>
      <c r="J7" s="16">
        <f t="shared" si="2"/>
        <v>84000</v>
      </c>
      <c r="K7" s="3" t="str">
        <f t="shared" si="3"/>
        <v>High</v>
      </c>
      <c r="M7" s="1" t="s">
        <v>19</v>
      </c>
      <c r="N7" s="4">
        <f>+SUMIF($B$6:$B$11,$M7,$H$6:$H$11)</f>
        <v>54000</v>
      </c>
      <c r="O7" s="1" t="str">
        <f t="shared" si="4"/>
        <v>Jan</v>
      </c>
      <c r="P7" s="1" t="str">
        <f t="shared" ref="P7:P11" si="5">+LEFT(C7,2)</f>
        <v>Ri</v>
      </c>
      <c r="Q7" s="2">
        <f t="shared" ref="Q7:Q11" si="6">+ROUND(F7,-3)</f>
        <v>15000</v>
      </c>
    </row>
    <row r="8" spans="1:18" x14ac:dyDescent="0.25">
      <c r="A8" s="1">
        <v>303</v>
      </c>
      <c r="B8" s="1" t="s">
        <v>19</v>
      </c>
      <c r="C8" s="1" t="s">
        <v>20</v>
      </c>
      <c r="D8" s="1" t="s">
        <v>21</v>
      </c>
      <c r="E8" s="1">
        <v>3</v>
      </c>
      <c r="F8" s="2">
        <v>18000</v>
      </c>
      <c r="G8" s="1" t="s">
        <v>22</v>
      </c>
      <c r="H8" s="3">
        <f t="shared" si="1"/>
        <v>54000</v>
      </c>
      <c r="I8" s="4">
        <f>+(VLOOKUP($D8,Product_Master!$A$1:$C$4,3,0)*H8)/100</f>
        <v>6480</v>
      </c>
      <c r="J8" s="16">
        <f t="shared" si="2"/>
        <v>60480</v>
      </c>
      <c r="K8" s="3" t="str">
        <f t="shared" si="3"/>
        <v>Low</v>
      </c>
      <c r="M8" s="1" t="s">
        <v>23</v>
      </c>
      <c r="N8" s="4">
        <f>+SUMIF($B$6:$B$11,$M8,$H$6:$H$11)</f>
        <v>45000</v>
      </c>
      <c r="O8" s="1" t="str">
        <f t="shared" si="4"/>
        <v>Jan</v>
      </c>
      <c r="P8" s="1" t="str">
        <f t="shared" si="5"/>
        <v>Ku</v>
      </c>
      <c r="Q8" s="2">
        <f t="shared" si="6"/>
        <v>18000</v>
      </c>
    </row>
    <row r="9" spans="1:18" x14ac:dyDescent="0.25">
      <c r="A9" s="1">
        <v>304</v>
      </c>
      <c r="B9" s="1" t="s">
        <v>23</v>
      </c>
      <c r="C9" s="1" t="s">
        <v>24</v>
      </c>
      <c r="D9" s="1" t="s">
        <v>13</v>
      </c>
      <c r="E9" s="1">
        <v>1</v>
      </c>
      <c r="F9" s="2">
        <v>45000</v>
      </c>
      <c r="G9" s="1" t="s">
        <v>25</v>
      </c>
      <c r="H9" s="3">
        <f t="shared" si="1"/>
        <v>45000</v>
      </c>
      <c r="I9" s="4">
        <f>+(VLOOKUP($D9,Product_Master!$A$1:$C$4,3,0)*H9)/100</f>
        <v>8100</v>
      </c>
      <c r="J9" s="16">
        <f t="shared" si="2"/>
        <v>53100</v>
      </c>
      <c r="K9" s="3" t="str">
        <f t="shared" si="3"/>
        <v>Low</v>
      </c>
      <c r="M9" s="1" t="s">
        <v>15</v>
      </c>
      <c r="N9" s="4">
        <f>+SUMIF($B$6:$B$11,$M9,$H$6:$H$11)</f>
        <v>165000</v>
      </c>
      <c r="O9" s="1" t="str">
        <f t="shared" si="4"/>
        <v>Jan</v>
      </c>
      <c r="P9" s="1" t="str">
        <f t="shared" si="5"/>
        <v>Ne</v>
      </c>
      <c r="Q9" s="2">
        <f t="shared" si="6"/>
        <v>45000</v>
      </c>
    </row>
    <row r="10" spans="1:18" x14ac:dyDescent="0.25">
      <c r="A10" s="1">
        <v>305</v>
      </c>
      <c r="B10" s="1" t="s">
        <v>11</v>
      </c>
      <c r="C10" s="1" t="s">
        <v>12</v>
      </c>
      <c r="D10" s="1" t="s">
        <v>17</v>
      </c>
      <c r="E10" s="1">
        <v>4</v>
      </c>
      <c r="F10" s="2">
        <v>15000</v>
      </c>
      <c r="G10" s="1" t="s">
        <v>26</v>
      </c>
      <c r="H10" s="3">
        <f t="shared" si="1"/>
        <v>60000</v>
      </c>
      <c r="I10" s="4">
        <f>+(VLOOKUP($D10,Product_Master!$A$1:$C$4,3,0)*H10)/100</f>
        <v>7200</v>
      </c>
      <c r="J10" s="16">
        <f t="shared" si="2"/>
        <v>67200</v>
      </c>
      <c r="K10" s="3" t="str">
        <f t="shared" si="3"/>
        <v>High</v>
      </c>
      <c r="O10" s="1" t="str">
        <f t="shared" si="4"/>
        <v>Jan</v>
      </c>
      <c r="P10" s="1" t="str">
        <f t="shared" si="5"/>
        <v>Am</v>
      </c>
      <c r="Q10" s="2">
        <f t="shared" si="6"/>
        <v>15000</v>
      </c>
    </row>
    <row r="11" spans="1:18" x14ac:dyDescent="0.25">
      <c r="A11" s="1">
        <v>306</v>
      </c>
      <c r="B11" s="1" t="s">
        <v>15</v>
      </c>
      <c r="C11" s="1" t="s">
        <v>16</v>
      </c>
      <c r="D11" s="1" t="s">
        <v>13</v>
      </c>
      <c r="E11" s="1">
        <v>2</v>
      </c>
      <c r="F11" s="2">
        <v>45000</v>
      </c>
      <c r="G11" s="1" t="s">
        <v>27</v>
      </c>
      <c r="H11" s="3">
        <f t="shared" si="1"/>
        <v>90000</v>
      </c>
      <c r="I11" s="4">
        <f>+(VLOOKUP($D11,Product_Master!$A$1:$C$4,3,0)*H11)/100</f>
        <v>16200</v>
      </c>
      <c r="J11" s="16">
        <f t="shared" si="2"/>
        <v>106200</v>
      </c>
      <c r="K11" s="3" t="str">
        <f t="shared" si="3"/>
        <v>Low</v>
      </c>
      <c r="O11" s="1" t="str">
        <f t="shared" si="4"/>
        <v>Jan</v>
      </c>
      <c r="P11" s="1" t="str">
        <f t="shared" si="5"/>
        <v>Ri</v>
      </c>
      <c r="Q11" s="2">
        <f t="shared" si="6"/>
        <v>45000</v>
      </c>
    </row>
    <row r="14" spans="1:18" x14ac:dyDescent="0.25">
      <c r="J14" s="1">
        <v>10</v>
      </c>
    </row>
    <row r="15" spans="1:18" ht="45" x14ac:dyDescent="0.25">
      <c r="A15" s="6" t="s">
        <v>4</v>
      </c>
      <c r="B15" s="6" t="s">
        <v>5</v>
      </c>
      <c r="C15" s="6" t="s">
        <v>6</v>
      </c>
      <c r="D15" s="6" t="s">
        <v>7</v>
      </c>
      <c r="E15" s="6" t="s">
        <v>8</v>
      </c>
      <c r="F15" s="6" t="s">
        <v>9</v>
      </c>
      <c r="G15" s="6" t="s">
        <v>10</v>
      </c>
      <c r="H15" s="7" t="s">
        <v>73</v>
      </c>
      <c r="I15" s="8" t="s">
        <v>74</v>
      </c>
      <c r="J15" s="9" t="s">
        <v>75</v>
      </c>
      <c r="K15" s="1" t="s">
        <v>28</v>
      </c>
      <c r="L15" s="1" t="s">
        <v>4</v>
      </c>
      <c r="M15" s="1" t="s">
        <v>83</v>
      </c>
    </row>
    <row r="16" spans="1:18" x14ac:dyDescent="0.25">
      <c r="A16" s="1">
        <v>301</v>
      </c>
      <c r="B16" s="1" t="s">
        <v>11</v>
      </c>
      <c r="C16" s="1" t="s">
        <v>12</v>
      </c>
      <c r="D16" s="1" t="s">
        <v>13</v>
      </c>
      <c r="E16" s="1">
        <v>2</v>
      </c>
      <c r="F16" s="2">
        <v>45000</v>
      </c>
      <c r="G16" s="1" t="s">
        <v>14</v>
      </c>
      <c r="H16" s="3">
        <f t="shared" ref="H16:H21" si="7">+F16*E16</f>
        <v>90000</v>
      </c>
      <c r="I16" s="4">
        <f>+(VLOOKUP($D16,Product_Master!$A$1:$C$4,3,0)*H16)/100</f>
        <v>16200</v>
      </c>
      <c r="J16" s="5">
        <f t="shared" ref="J16:J21" si="8">+ROUND(SUM(H16:I16),0)</f>
        <v>106200</v>
      </c>
      <c r="K16" s="1" t="s">
        <v>30</v>
      </c>
      <c r="L16" s="1">
        <v>301</v>
      </c>
      <c r="M16" s="1" t="str">
        <f>+INDEX($K$16:$K$21,MATCH($D16,$D$16:$D$21,0))</f>
        <v>Electronics</v>
      </c>
      <c r="O16" s="1" cm="1">
        <f t="array" ref="O16:O17">+_xlfn._xlws.FILTER(A16:A21,(D16:D21="Laptop")*(E16:E21&gt;1))</f>
        <v>301</v>
      </c>
    </row>
    <row r="17" spans="1:15" x14ac:dyDescent="0.25">
      <c r="A17" s="1">
        <v>306</v>
      </c>
      <c r="B17" s="1" t="s">
        <v>15</v>
      </c>
      <c r="C17" s="1" t="s">
        <v>16</v>
      </c>
      <c r="D17" s="1" t="s">
        <v>13</v>
      </c>
      <c r="E17" s="1">
        <v>2</v>
      </c>
      <c r="F17" s="2">
        <v>45000</v>
      </c>
      <c r="G17" s="1" t="s">
        <v>27</v>
      </c>
      <c r="H17" s="3">
        <f t="shared" si="7"/>
        <v>90000</v>
      </c>
      <c r="I17" s="4">
        <f>+(VLOOKUP($D17,Product_Master!$A$1:$C$4,3,0)*H17)/100</f>
        <v>16200</v>
      </c>
      <c r="J17" s="5">
        <f t="shared" si="8"/>
        <v>106200</v>
      </c>
      <c r="K17" s="1" t="s">
        <v>30</v>
      </c>
      <c r="M17" s="1" t="str">
        <f t="shared" ref="M17:M21" si="9">+INDEX($K$16:$K$21,MATCH($D17,$D$16:$D$21,0))</f>
        <v>Electronics</v>
      </c>
      <c r="O17" s="1">
        <v>306</v>
      </c>
    </row>
    <row r="18" spans="1:15" x14ac:dyDescent="0.25">
      <c r="A18" s="1">
        <v>302</v>
      </c>
      <c r="B18" s="1" t="s">
        <v>15</v>
      </c>
      <c r="C18" s="1" t="s">
        <v>16</v>
      </c>
      <c r="D18" s="1" t="s">
        <v>17</v>
      </c>
      <c r="E18" s="1">
        <v>5</v>
      </c>
      <c r="F18" s="2">
        <v>15000</v>
      </c>
      <c r="G18" s="1" t="s">
        <v>18</v>
      </c>
      <c r="H18" s="3">
        <f t="shared" si="7"/>
        <v>75000</v>
      </c>
      <c r="I18" s="4">
        <f>+(VLOOKUP($D18,Product_Master!$A$1:$C$4,3,0)*H18)/100</f>
        <v>9000</v>
      </c>
      <c r="J18" s="5">
        <f t="shared" si="8"/>
        <v>84000</v>
      </c>
      <c r="K18" s="1" t="s">
        <v>30</v>
      </c>
      <c r="M18" s="1" t="str">
        <f t="shared" si="9"/>
        <v>Electronics</v>
      </c>
    </row>
    <row r="19" spans="1:15" x14ac:dyDescent="0.25">
      <c r="A19" s="1">
        <v>305</v>
      </c>
      <c r="B19" s="1" t="s">
        <v>11</v>
      </c>
      <c r="C19" s="1" t="s">
        <v>12</v>
      </c>
      <c r="D19" s="1" t="s">
        <v>17</v>
      </c>
      <c r="E19" s="1">
        <v>4</v>
      </c>
      <c r="F19" s="2">
        <v>15000</v>
      </c>
      <c r="G19" s="1" t="s">
        <v>26</v>
      </c>
      <c r="H19" s="3">
        <f t="shared" si="7"/>
        <v>60000</v>
      </c>
      <c r="I19" s="4">
        <f>+(VLOOKUP($D19,Product_Master!$A$1:$C$4,3,0)*H19)/100</f>
        <v>7200</v>
      </c>
      <c r="J19" s="5">
        <f t="shared" si="8"/>
        <v>67200</v>
      </c>
      <c r="K19" s="1" t="s">
        <v>30</v>
      </c>
      <c r="M19" s="1" t="str">
        <f t="shared" si="9"/>
        <v>Electronics</v>
      </c>
    </row>
    <row r="20" spans="1:15" x14ac:dyDescent="0.25">
      <c r="A20" s="1">
        <v>303</v>
      </c>
      <c r="B20" s="1" t="s">
        <v>19</v>
      </c>
      <c r="C20" s="1" t="s">
        <v>20</v>
      </c>
      <c r="D20" s="1" t="s">
        <v>21</v>
      </c>
      <c r="E20" s="1">
        <v>3</v>
      </c>
      <c r="F20" s="2">
        <v>18000</v>
      </c>
      <c r="G20" s="1" t="s">
        <v>22</v>
      </c>
      <c r="H20" s="3">
        <f t="shared" si="7"/>
        <v>54000</v>
      </c>
      <c r="I20" s="4">
        <f>+(VLOOKUP($D20,Product_Master!$A$1:$C$4,3,0)*H20)/100</f>
        <v>6480</v>
      </c>
      <c r="J20" s="5">
        <f t="shared" si="8"/>
        <v>60480</v>
      </c>
      <c r="K20" s="1" t="s">
        <v>30</v>
      </c>
      <c r="M20" s="1" t="str">
        <f t="shared" si="9"/>
        <v>Electronics</v>
      </c>
    </row>
    <row r="21" spans="1:15" x14ac:dyDescent="0.25">
      <c r="A21" s="1">
        <v>304</v>
      </c>
      <c r="B21" s="1" t="s">
        <v>23</v>
      </c>
      <c r="C21" s="1" t="s">
        <v>24</v>
      </c>
      <c r="D21" s="1" t="s">
        <v>13</v>
      </c>
      <c r="E21" s="1">
        <v>1</v>
      </c>
      <c r="F21" s="2">
        <v>45000</v>
      </c>
      <c r="G21" s="1" t="s">
        <v>25</v>
      </c>
      <c r="H21" s="3">
        <f t="shared" si="7"/>
        <v>45000</v>
      </c>
      <c r="I21" s="4">
        <f>+(VLOOKUP($D21,Product_Master!$A$1:$C$4,3,0)*H21)/100</f>
        <v>8100</v>
      </c>
      <c r="J21" s="5">
        <f t="shared" si="8"/>
        <v>53100</v>
      </c>
      <c r="K21" s="1" t="s">
        <v>30</v>
      </c>
      <c r="M21" s="1" t="str">
        <f t="shared" si="9"/>
        <v>Electronics</v>
      </c>
    </row>
    <row r="24" spans="1:15" ht="60" x14ac:dyDescent="0.25">
      <c r="B24" s="10" t="s">
        <v>96</v>
      </c>
      <c r="C24" s="1">
        <f>+COUNTIFS($D$16:$D$21,D16,$B$16:$B$21,B16)</f>
        <v>1</v>
      </c>
    </row>
  </sheetData>
  <conditionalFormatting sqref="J6:J11">
    <cfRule type="cellIs" dxfId="2" priority="2" operator="greaterThan">
      <formula>6000</formula>
    </cfRule>
  </conditionalFormatting>
  <conditionalFormatting sqref="A6:A11">
    <cfRule type="duplicateValues" dxfId="0" priority="1"/>
  </conditionalFormatting>
  <dataValidations disablePrompts="1" count="1">
    <dataValidation type="list" allowBlank="1" showInputMessage="1" showErrorMessage="1" sqref="L16" xr:uid="{24A0E13E-EDF1-4037-9AB2-7F0118A19B0C}">
      <formula1>$A$16:$A$21</formula1>
    </dataValidation>
  </dataValidation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1" sqref="E1"/>
    </sheetView>
  </sheetViews>
  <sheetFormatPr defaultRowHeight="15" x14ac:dyDescent="0.25"/>
  <cols>
    <col min="1" max="1" width="7.85546875" bestFit="1" customWidth="1"/>
    <col min="2" max="2" width="10.5703125" bestFit="1" customWidth="1"/>
    <col min="3" max="3" width="6.85546875" bestFit="1" customWidth="1"/>
    <col min="4" max="4" width="7.28515625" bestFit="1" customWidth="1"/>
    <col min="5" max="5" width="10.5703125" bestFit="1" customWidth="1"/>
  </cols>
  <sheetData>
    <row r="1" spans="1:5" x14ac:dyDescent="0.25">
      <c r="A1" t="s">
        <v>7</v>
      </c>
      <c r="B1" t="s">
        <v>28</v>
      </c>
      <c r="C1" t="s">
        <v>29</v>
      </c>
      <c r="E1">
        <v>11</v>
      </c>
    </row>
    <row r="2" spans="1:5" x14ac:dyDescent="0.25">
      <c r="A2" t="s">
        <v>13</v>
      </c>
      <c r="B2" t="s">
        <v>30</v>
      </c>
      <c r="C2">
        <v>18</v>
      </c>
      <c r="D2" t="str">
        <f>+A2</f>
        <v>Laptop</v>
      </c>
      <c r="E2" t="str">
        <f>+INDEX($B$2:$B$4,MATCH($D2,$A$2:$A$4,0))</f>
        <v>Electronics</v>
      </c>
    </row>
    <row r="3" spans="1:5" x14ac:dyDescent="0.25">
      <c r="A3" t="s">
        <v>17</v>
      </c>
      <c r="B3" t="s">
        <v>30</v>
      </c>
      <c r="C3">
        <v>12</v>
      </c>
      <c r="D3" t="str">
        <f t="shared" ref="D3:D4" si="0">+A3</f>
        <v>Mobile</v>
      </c>
      <c r="E3" t="str">
        <f t="shared" ref="E3:E4" si="1">+INDEX($B$2:$B$4,MATCH($D3,$A$2:$A$4,0))</f>
        <v>Electronics</v>
      </c>
    </row>
    <row r="4" spans="1:5" x14ac:dyDescent="0.25">
      <c r="A4" t="s">
        <v>21</v>
      </c>
      <c r="B4" t="s">
        <v>30</v>
      </c>
      <c r="C4">
        <v>12</v>
      </c>
      <c r="D4" t="str">
        <f t="shared" si="0"/>
        <v>Tablet</v>
      </c>
      <c r="E4" t="str">
        <f t="shared" si="1"/>
        <v>Electronics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showGridLines="0" tabSelected="1" workbookViewId="0">
      <selection activeCell="H10" sqref="H10"/>
    </sheetView>
  </sheetViews>
  <sheetFormatPr defaultRowHeight="15" x14ac:dyDescent="0.25"/>
  <cols>
    <col min="1" max="1" width="9.140625" style="17"/>
    <col min="2" max="2" width="16.140625" style="17" bestFit="1" customWidth="1"/>
    <col min="3" max="3" width="6.42578125" style="17" bestFit="1" customWidth="1"/>
    <col min="4" max="7" width="9.140625" style="17"/>
    <col min="8" max="8" width="10" style="17" bestFit="1" customWidth="1"/>
    <col min="9" max="9" width="14" style="17" bestFit="1" customWidth="1"/>
    <col min="10" max="10" width="14.7109375" style="17" bestFit="1" customWidth="1"/>
    <col min="11" max="11" width="14.28515625" style="17" bestFit="1" customWidth="1"/>
    <col min="12" max="16384" width="9.140625" style="17"/>
  </cols>
  <sheetData>
    <row r="1" spans="1:11" x14ac:dyDescent="0.25">
      <c r="H1" s="17">
        <f>+AVERAGE(H3:H7)</f>
        <v>78.2</v>
      </c>
    </row>
    <row r="2" spans="1:11" x14ac:dyDescent="0.25">
      <c r="A2" s="17" t="s">
        <v>31</v>
      </c>
      <c r="B2" s="17" t="s">
        <v>32</v>
      </c>
      <c r="C2" s="17" t="s">
        <v>33</v>
      </c>
      <c r="D2" s="17" t="s">
        <v>34</v>
      </c>
      <c r="E2" s="17" t="s">
        <v>35</v>
      </c>
      <c r="F2" s="17" t="s">
        <v>36</v>
      </c>
      <c r="G2" s="17" t="s">
        <v>84</v>
      </c>
      <c r="H2" s="17" t="s">
        <v>85</v>
      </c>
      <c r="I2" s="17" t="s">
        <v>86</v>
      </c>
      <c r="J2" s="17" t="s">
        <v>89</v>
      </c>
      <c r="K2" s="17" t="s">
        <v>94</v>
      </c>
    </row>
    <row r="3" spans="1:11" x14ac:dyDescent="0.25">
      <c r="A3" s="17">
        <v>1</v>
      </c>
      <c r="B3" s="17" t="s">
        <v>37</v>
      </c>
      <c r="C3" s="17">
        <v>78</v>
      </c>
      <c r="D3" s="17">
        <v>82</v>
      </c>
      <c r="E3" s="17">
        <v>85</v>
      </c>
      <c r="F3" s="17">
        <v>92</v>
      </c>
      <c r="G3" s="17">
        <f>+SUM(C3:E3)</f>
        <v>245</v>
      </c>
      <c r="H3" s="17">
        <f>+ROUND(AVERAGE(C3:E3),0)</f>
        <v>82</v>
      </c>
      <c r="I3" s="17" t="str">
        <f>+IF(H3&gt;=$H$1,"Topper","")</f>
        <v>Topper</v>
      </c>
      <c r="J3" s="17" t="str">
        <f>+IF(F3&gt;=85,"Eligible","Not Eligible")</f>
        <v>Eligible</v>
      </c>
      <c r="K3" s="17" t="str">
        <f>+_xlfn.CONCAT(B3," - ",A3)</f>
        <v>Rahul - 1</v>
      </c>
    </row>
    <row r="4" spans="1:11" x14ac:dyDescent="0.25">
      <c r="A4" s="17">
        <v>2</v>
      </c>
      <c r="B4" s="17" t="s">
        <v>38</v>
      </c>
      <c r="C4" s="17">
        <v>88</v>
      </c>
      <c r="D4" s="17">
        <v>91</v>
      </c>
      <c r="E4" s="17">
        <v>90</v>
      </c>
      <c r="F4" s="17">
        <v>96</v>
      </c>
      <c r="G4" s="17">
        <f t="shared" ref="G4:G7" si="0">+SUM(C4:E4)</f>
        <v>269</v>
      </c>
      <c r="H4" s="17">
        <f t="shared" ref="H4:H7" si="1">+ROUND(AVERAGE(C4:E4),0)</f>
        <v>90</v>
      </c>
      <c r="I4" s="17" t="str">
        <f t="shared" ref="I4:I7" si="2">+IF(H4&gt;=$H$1,"Topper","")</f>
        <v>Topper</v>
      </c>
      <c r="J4" s="17" t="str">
        <f t="shared" ref="J4:J7" si="3">+IF(F4&gt;=85,"Eligible","Not Eligible")</f>
        <v>Eligible</v>
      </c>
      <c r="K4" s="17" t="str">
        <f t="shared" ref="K4:K7" si="4">+_xlfn.CONCAT(B4," - ",A4)</f>
        <v>Sneha - 2</v>
      </c>
    </row>
    <row r="5" spans="1:11" x14ac:dyDescent="0.25">
      <c r="A5" s="17">
        <v>3</v>
      </c>
      <c r="B5" s="17" t="s">
        <v>39</v>
      </c>
      <c r="C5" s="17">
        <v>65</v>
      </c>
      <c r="D5" s="17">
        <v>70</v>
      </c>
      <c r="E5" s="17">
        <v>72</v>
      </c>
      <c r="F5" s="17">
        <v>85</v>
      </c>
      <c r="G5" s="17">
        <f t="shared" si="0"/>
        <v>207</v>
      </c>
      <c r="H5" s="17">
        <f t="shared" si="1"/>
        <v>69</v>
      </c>
      <c r="I5" s="17" t="str">
        <f t="shared" si="2"/>
        <v/>
      </c>
      <c r="J5" s="17" t="str">
        <f t="shared" si="3"/>
        <v>Eligible</v>
      </c>
      <c r="K5" s="17" t="str">
        <f t="shared" si="4"/>
        <v>Arjun - 3</v>
      </c>
    </row>
    <row r="6" spans="1:11" x14ac:dyDescent="0.25">
      <c r="A6" s="17">
        <v>4</v>
      </c>
      <c r="B6" s="17" t="s">
        <v>40</v>
      </c>
      <c r="C6" s="17">
        <v>92</v>
      </c>
      <c r="D6" s="17">
        <v>89</v>
      </c>
      <c r="E6" s="17">
        <v>94</v>
      </c>
      <c r="F6" s="17">
        <v>98</v>
      </c>
      <c r="G6" s="17">
        <f t="shared" si="0"/>
        <v>275</v>
      </c>
      <c r="H6" s="17">
        <f t="shared" si="1"/>
        <v>92</v>
      </c>
      <c r="I6" s="17" t="str">
        <f t="shared" si="2"/>
        <v>Topper</v>
      </c>
      <c r="J6" s="17" t="str">
        <f t="shared" si="3"/>
        <v>Eligible</v>
      </c>
      <c r="K6" s="17" t="str">
        <f t="shared" si="4"/>
        <v>Pooja - 4</v>
      </c>
    </row>
    <row r="7" spans="1:11" x14ac:dyDescent="0.25">
      <c r="A7" s="17">
        <v>5</v>
      </c>
      <c r="B7" s="17" t="s">
        <v>41</v>
      </c>
      <c r="C7" s="17">
        <v>55</v>
      </c>
      <c r="D7" s="17">
        <v>60</v>
      </c>
      <c r="E7" s="17">
        <v>58</v>
      </c>
      <c r="F7" s="17">
        <v>80</v>
      </c>
      <c r="G7" s="17">
        <f t="shared" si="0"/>
        <v>173</v>
      </c>
      <c r="H7" s="17">
        <f t="shared" si="1"/>
        <v>58</v>
      </c>
      <c r="I7" s="17" t="str">
        <f t="shared" si="2"/>
        <v/>
      </c>
      <c r="J7" s="17" t="str">
        <f t="shared" si="3"/>
        <v>Not Eligible</v>
      </c>
      <c r="K7" s="17" t="str">
        <f t="shared" si="4"/>
        <v>Vikas - 5</v>
      </c>
    </row>
    <row r="9" spans="1:11" x14ac:dyDescent="0.25">
      <c r="B9" s="17" t="s">
        <v>87</v>
      </c>
      <c r="C9" s="17" t="s">
        <v>88</v>
      </c>
      <c r="D9" s="17">
        <f>+COUNTIF(F3:F7,"&gt;90")</f>
        <v>3</v>
      </c>
    </row>
    <row r="10" spans="1:11" x14ac:dyDescent="0.25">
      <c r="B10" s="17" t="s">
        <v>92</v>
      </c>
      <c r="D10" s="17">
        <f>+MEDIAN(D3:D7)</f>
        <v>82</v>
      </c>
    </row>
    <row r="11" spans="1:11" x14ac:dyDescent="0.25">
      <c r="B11" s="17" t="s">
        <v>93</v>
      </c>
      <c r="D11" s="17">
        <f>+_xlfn.STDEV.P(E3:E7)</f>
        <v>13.181805642627264</v>
      </c>
    </row>
  </sheetData>
  <sheetProtection algorithmName="SHA-512" hashValue="7dCALQ1UkHPjIZG3TbOaDv7Sk3DYOF4HlRFMpui1FNctqt90gHwEukR8MdkyvvWhW5+kWpXrAyHpAuoMxetNlQ==" saltValue="4pA+8Qjm5ol+dv/EDqD5KQ==" spinCount="100000" sheet="1" objects="1" scenarios="1" selectLockedCells="1" selectUnlockedCells="1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/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Sheet1</vt:lpstr>
      <vt:lpstr>Sales_Data</vt:lpstr>
      <vt:lpstr>Product_Master</vt:lpstr>
      <vt:lpstr>123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ASDC35</cp:lastModifiedBy>
  <dcterms:created xsi:type="dcterms:W3CDTF">2025-12-20T09:26:06Z</dcterms:created>
  <dcterms:modified xsi:type="dcterms:W3CDTF">2026-05-24T05:20:18Z</dcterms:modified>
</cp:coreProperties>
</file>
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njay_Github\Excel\"/>
    </mc:Choice>
  </mc:AlternateContent>
  <xr:revisionPtr revIDLastSave="0" documentId="13_ncr:1_{EDB78ADD-916F-460D-B842-7A681C622825}" xr6:coauthVersionLast="47" xr6:coauthVersionMax="47" xr10:uidLastSave="{00000000-0000-0000-0000-000000000000}"/>
  <bookViews>
    <workbookView xWindow="-120" yWindow="-120" windowWidth="29040" windowHeight="15720" activeTab="2" xr2:uid="{DF4A2310-D878-4A86-A515-C029D05513CC}"/>
  </bookViews>
  <sheets>
    <sheet name="VLookup" sheetId="1" r:id="rId1"/>
    <sheet name="HLookup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6" i="3"/>
  <c r="C3" i="3"/>
  <c r="D7" i="3"/>
  <c r="D8" i="3"/>
  <c r="D9" i="3"/>
  <c r="D10" i="3"/>
  <c r="D11" i="3"/>
  <c r="D12" i="3"/>
  <c r="D13" i="3"/>
  <c r="D6" i="3"/>
  <c r="C7" i="3"/>
  <c r="C8" i="3"/>
  <c r="C9" i="3"/>
  <c r="C10" i="3"/>
  <c r="C11" i="3"/>
  <c r="C12" i="3"/>
  <c r="C13" i="3"/>
  <c r="C6" i="3"/>
  <c r="C2" i="3"/>
  <c r="D14" i="2"/>
  <c r="E14" i="2" s="1"/>
  <c r="M8" i="1"/>
  <c r="C14" i="2"/>
  <c r="F14" i="2" s="1"/>
  <c r="C8" i="2"/>
  <c r="C7" i="2"/>
  <c r="M7" i="1"/>
  <c r="K6" i="1"/>
  <c r="L5" i="1"/>
  <c r="I3" i="1"/>
  <c r="J3" i="1"/>
  <c r="K3" i="1"/>
  <c r="L3" i="1"/>
  <c r="M3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<sst xmlns="http://schemas.openxmlformats.org/spreadsheetml/2006/main" count="85" uniqueCount="41">
  <si>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</si>
  <si>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</si>
  <si>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</si>
  <si>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</si>
  <si>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</si>
  <si>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</si>
  <si>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</si>
  <si>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</si>
  <si>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</si>
  <si>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</si>
  <si>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</si>
  <si>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</si>
  <si>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</si>
  <si>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</si>
  <si>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</si>
  <si>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</si>
  <si>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</si>
  <si>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</si>
  <si>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</si>
  <si>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</si>
  <si>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</si>
  <si>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</si>
  <si>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</si>
  <si>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</si>
  <si>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</si>
  <si>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</si>
  <si>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</si>
  <si>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</si>
  <si>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</si>
  <si>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</si>
  <si>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</si>
  <si>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</si>
  <si>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</si>
  <si>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</si>
  <si>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Find the Bonus % for IT department.</t>
  </si>
  <si>
    <t>Bonus Amount for employee E104</t>
  </si>
  <si>
    <t>Bonus Amount</t>
  </si>
  <si>
    <t>E112</t>
  </si>
  <si>
    <t>Dept</t>
  </si>
  <si>
    <t>Emp Name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</si>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</sst>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D219-D567-46DD-BBE9-793F489B7C65}">
  <dimension ref="A1:M9"/>
  <sheetViews>
    <sheetView workbookViewId="0">
      <selection activeCell="B2" sqref="B2"/>
    </sheetView>
  </sheetViews>
  <sheetFormatPr defaultRowHeight="15" x14ac:dyDescent="0.25"/>
  <cols>
    <col min="1" max="1" width="11.7109375" bestFit="1" customWidth="1"/>
    <col min="2" max="2" width="13.42578125" bestFit="1" customWidth="1"/>
    <col min="3" max="3" width="11.7109375" bestFit="1" customWidth="1"/>
    <col min="4" max="4" width="10.5703125" bestFit="1" customWidth="1"/>
    <col min="5" max="5" width="6.28515625" bestFit="1" customWidth="1"/>
    <col min="6" max="6" width="11.140625" bestFit="1" customWidth="1"/>
    <col min="8" max="8" width="11.7109375" bestFit="1" customWidth="1"/>
    <col min="9" max="9" width="13.140625" bestFit="1" customWidth="1"/>
    <col min="10" max="10" width="11.7109375" bestFit="1" customWidth="1"/>
    <col min="11" max="11" width="9.85546875" bestFit="1" customWidth="1"/>
    <col min="12" max="12" width="6.28515625" bestFit="1" customWidth="1"/>
    <col min="13" max="13" width="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 x14ac:dyDescent="0.25">
      <c r="A2" t="s">
        <v>6</v>
      </c>
      <c r="B2" t="s">
        <v>7</v>
      </c>
      <c r="C2" t="s">
        <v>8</v>
      </c>
      <c r="D2" t="s">
        <v>9</v>
      </c>
      <c r="E2">
        <v>45000</v>
      </c>
      <c r="F2">
        <v>2019</v>
      </c>
      <c r="H2" t="s">
        <v>18</v>
      </c>
      <c r="I2" t="str">
        <f>+VLOOKUP($H2,$A$1:$F$9,2,0)</f>
        <v>Neha Singh</v>
      </c>
      <c r="J2" t="str">
        <f>+VLOOKUP($H2,$A$1:$F$9,3,0)</f>
        <v>Finance</v>
      </c>
      <c r="K2" t="str">
        <f>+VLOOKUP($H2,$A$1:$F$9,4,0)</f>
        <v>Pune</v>
      </c>
      <c r="L2">
        <f>+VLOOKUP($H2,$A$1:$F$9,5,0)</f>
        <v>58000</v>
      </c>
      <c r="M2">
        <f>+VLOOKUP($H2,$A$1:$F$9,6,0)</f>
        <v>2017</v>
      </c>
    </row>
    <row r="3" spans="1:13" x14ac:dyDescent="0.25">
      <c r="A3" t="s">
        <v>10</v>
      </c>
      <c r="B3" t="s">
        <v>11</v>
      </c>
      <c r="C3" t="s">
        <v>12</v>
      </c>
      <c r="D3" t="s">
        <v>13</v>
      </c>
      <c r="E3">
        <v>52000</v>
      </c>
      <c r="F3">
        <v>2018</v>
      </c>
      <c r="H3" t="s">
        <v>14</v>
      </c>
      <c r="I3" t="str">
        <f>+VLOOKUP($H3,$A$1:$F$9,2,0)</f>
        <v>Rohit Verma</v>
      </c>
      <c r="J3" t="str">
        <f>+VLOOKUP($H3,$A$1:$F$9,3,0)</f>
        <v>IT</v>
      </c>
      <c r="K3" t="str">
        <f>+VLOOKUP($H3,$A$1:$F$9,4,0)</f>
        <v>Bangalore</v>
      </c>
      <c r="L3">
        <f>+VLOOKUP($H3,$A$1:$F$9,5,0)</f>
        <v>65000</v>
      </c>
      <c r="M3">
        <f>+VLOOKUP($H3,$A$1:$F$9,6,0)</f>
        <v>2020</v>
      </c>
    </row>
    <row r="4" spans="1:13" x14ac:dyDescent="0.25">
      <c r="A4" t="s">
        <v>14</v>
      </c>
      <c r="B4" t="s">
        <v>15</v>
      </c>
      <c r="C4" t="s">
        <v>16</v>
      </c>
      <c r="D4" t="s">
        <v>17</v>
      </c>
      <c r="E4">
        <v>65000</v>
      </c>
      <c r="F4">
        <v>2020</v>
      </c>
    </row>
    <row r="5" spans="1:13" x14ac:dyDescent="0.25">
      <c r="A5" t="s">
        <v>18</v>
      </c>
      <c r="B5" t="s">
        <v>19</v>
      </c>
      <c r="C5" t="s">
        <v>20</v>
      </c>
      <c r="D5" t="s">
        <v>21</v>
      </c>
      <c r="E5">
        <v>58000</v>
      </c>
      <c r="F5">
        <v>2017</v>
      </c>
      <c r="I5" t="s">
        <v>32</v>
      </c>
      <c r="L5">
        <f>+VLOOKUP($I5,$B$1:$E$9,4,0)</f>
        <v>54000</v>
      </c>
    </row>
    <row r="6" spans="1:13" x14ac:dyDescent="0.25">
      <c r="A6" t="s">
        <v>22</v>
      </c>
      <c r="B6" t="s">
        <v>23</v>
      </c>
      <c r="C6" t="s">
        <v>24</v>
      </c>
      <c r="D6" t="s">
        <v>9</v>
      </c>
      <c r="E6">
        <v>48000</v>
      </c>
      <c r="F6">
        <v>2021</v>
      </c>
      <c r="H6" t="s">
        <v>28</v>
      </c>
      <c r="K6" t="str">
        <f>+VLOOKUP($H6,$A$1:$F$9,4,0)</f>
        <v>Hyderabad</v>
      </c>
    </row>
    <row r="7" spans="1:13" x14ac:dyDescent="0.25">
      <c r="A7" t="s">
        <v>25</v>
      </c>
      <c r="B7" t="s">
        <v>26</v>
      </c>
      <c r="C7" t="s">
        <v>16</v>
      </c>
      <c r="D7" t="s">
        <v>27</v>
      </c>
      <c r="E7">
        <v>62000</v>
      </c>
      <c r="F7">
        <v>2019</v>
      </c>
      <c r="H7" t="s">
        <v>6</v>
      </c>
      <c r="M7">
        <f>+VLOOKUP($H7,$A$1:$F$9,6,0)</f>
        <v>2019</v>
      </c>
    </row>
    <row r="8" spans="1:13" x14ac:dyDescent="0.25">
      <c r="A8" t="s">
        <v>28</v>
      </c>
      <c r="B8" t="s">
        <v>29</v>
      </c>
      <c r="C8" t="s">
        <v>8</v>
      </c>
      <c r="D8" t="s">
        <v>30</v>
      </c>
      <c r="E8">
        <v>47000</v>
      </c>
      <c r="F8">
        <v>2020</v>
      </c>
      <c r="H8" t="s">
        <v>37</v>
      </c>
      <c r="M8" t="str">
        <f>+IFERROR(VLOOKUP($H8,$A$1:$F$9,6,0),"Not Found")</f>
        <v>Not Found</v>
      </c>
    </row>
    <row r="9" spans="1:13" x14ac:dyDescent="0.25">
      <c r="A9" t="s">
        <v>31</v>
      </c>
      <c r="B9" t="s">
        <v>32</v>
      </c>
      <c r="C9" t="s">
        <v>12</v>
      </c>
      <c r="D9" t="s">
        <v>17</v>
      </c>
      <c r="E9">
        <v>54000</v>
      </c>
      <c r="F9">
        <v>2016</v>
      </c>
    </row>
  </sheetData>
  <dataConsolidate/>
  <dataValidations count="2">
    <dataValidation type="list" allowBlank="1" showInputMessage="1" showErrorMessage="1" sqref="H2:H4 H6:H7" xr:uid="{D244285A-7E3C-4A98-8CD0-BCACDC04792C}">
      <formula1>$A$2:$A$9</formula1>
    </dataValidation>
    <dataValidation type="list" allowBlank="1" showInputMessage="1" showErrorMessage="1" sqref="I5" xr:uid="{8D77252F-A377-4F3A-B31A-45AA31CC8B60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3BE7-8121-48BE-ADA4-80AF69C704FE}">
  <dimension ref="A1:F14"/>
  <sheetViews>
    <sheetView workbookViewId="0">
      <selection activeCell="B13" sqref="B13"/>
    </sheetView>
  </sheetViews>
  <sheetFormatPr defaultRowHeight="15" x14ac:dyDescent="0.25"/>
  <sheetData>
    <row r="1" spans="1:6" x14ac:dyDescent="0.25">
      <c r="A1" t="s">
        <v>2</v>
      </c>
      <c r="B1" t="s">
        <v>8</v>
      </c>
      <c r="C1" t="s">
        <v>12</v>
      </c>
      <c r="D1" t="s">
        <v>16</v>
      </c>
      <c r="E1" t="s">
        <v>20</v>
      </c>
      <c r="F1" t="s">
        <v>24</v>
      </c>
    </row>
    <row r="2" spans="1:6" x14ac:dyDescent="0.25">
      <c r="A2" t="s">
        <v>33</v>
      </c>
      <c r="B2" s="1">
        <v>0.1</v>
      </c>
      <c r="C2" s="1">
        <v>0.08</v>
      </c>
      <c r="D2" s="1">
        <v>0.12</v>
      </c>
      <c r="E2" s="1">
        <v>0.15</v>
      </c>
      <c r="F2" s="1">
        <v>0.09</v>
      </c>
    </row>
    <row r="5" spans="1:6" x14ac:dyDescent="0.25">
      <c r="B5" t="s">
        <v>34</v>
      </c>
    </row>
    <row r="7" spans="1:6" x14ac:dyDescent="0.25">
      <c r="B7" t="s">
        <v>16</v>
      </c>
      <c r="C7">
        <f>+HLOOKUP($B7,$B$1:$F$2,2,0)</f>
        <v>0.12</v>
      </c>
    </row>
    <row r="8" spans="1:6" x14ac:dyDescent="0.25">
      <c r="B8" t="s">
        <v>20</v>
      </c>
      <c r="C8">
        <f>+HLOOKUP($B8,$B$1:$F$2,2,0)</f>
        <v>0.15</v>
      </c>
    </row>
    <row r="11" spans="1:6" x14ac:dyDescent="0.25">
      <c r="B11" t="s">
        <v>35</v>
      </c>
    </row>
    <row r="13" spans="1:6" x14ac:dyDescent="0.25">
      <c r="B13" t="s">
        <v>0</v>
      </c>
      <c r="C13" t="s">
        <v>4</v>
      </c>
      <c r="D13" t="s">
        <v>2</v>
      </c>
      <c r="E13" t="s">
        <v>33</v>
      </c>
      <c r="F13" t="s">
        <v>36</v>
      </c>
    </row>
    <row r="14" spans="1:6" x14ac:dyDescent="0.25">
      <c r="B14" t="s">
        <v>18</v>
      </c>
      <c r="C14">
        <f>+VLOOKUP(B14,VLookup!A1:E9,5,0)</f>
        <v>58000</v>
      </c>
      <c r="D14" t="str">
        <f>+VLOOKUP(B14,VLookup!A1:C9,3,0)</f>
        <v>Finance</v>
      </c>
      <c r="E14" s="1">
        <f>+HLOOKUP(D14,E1:E2,2,)</f>
        <v>0.15</v>
      </c>
      <c r="F14">
        <f>+IFERROR((C14*E14),"No Bouns DAta")</f>
        <v>8700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DC04-1CD9-4522-95C5-95A87E5CED60}">
  <dimension ref="A1:E13"/>
  <sheetViews>
    <sheetView tabSelected="1" workbookViewId="0">
      <selection activeCell="D6" sqref="D6"/>
    </sheetView>
  </sheetViews>
  <sheetFormatPr defaultRowHeight="15" x14ac:dyDescent="0.25"/>
  <cols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4</v>
      </c>
    </row>
    <row r="2" spans="1:5" x14ac:dyDescent="0.25">
      <c r="A2" t="s">
        <v>18</v>
      </c>
      <c r="B2" t="s">
        <v>15</v>
      </c>
      <c r="C2">
        <f>+_xlfn.XLOOKUP(A2,VLookup!A1:A9,VLookup!E1:E9)</f>
        <v>58000</v>
      </c>
    </row>
    <row r="3" spans="1:5" x14ac:dyDescent="0.25">
      <c r="A3" t="s">
        <v>40</v>
      </c>
      <c r="C3" t="str">
        <f>+IFERROR(_xlfn.XLOOKUP(A3,VLookup!A1:A9,VLookup!E1:E9),"Emp Not Found")</f>
        <v>Emp Not Found</v>
      </c>
    </row>
    <row r="5" spans="1:5" x14ac:dyDescent="0.25">
      <c r="B5" t="s">
        <v>39</v>
      </c>
      <c r="C5" t="s">
        <v>38</v>
      </c>
      <c r="D5" t="s">
        <v>3</v>
      </c>
      <c r="E5" t="s">
        <v>33</v>
      </c>
    </row>
    <row r="6" spans="1:5" x14ac:dyDescent="0.25">
      <c r="B6" t="s">
        <v>7</v>
      </c>
      <c r="C6" t="str">
        <f>+_xlfn.XLOOKUP(B6,VLookup!$B$1:$B$9,VLookup!$C$1:$C$9)</f>
        <v>Sales</v>
      </c>
      <c r="D6" t="str">
        <f>+_xlfn.XLOOKUP(B6,VLookup!$B$1:$B$9,VLookup!$D$1:$D$9)</f>
        <v>Mumbai</v>
      </c>
      <c r="E6" s="1">
        <f>+HLOOKUP(C6,HLookup!$A$1:$F$2,2,0)</f>
        <v>0.1</v>
      </c>
    </row>
    <row r="7" spans="1:5" x14ac:dyDescent="0.25">
      <c r="B7" t="s">
        <v>11</v>
      </c>
      <c r="C7" t="str">
        <f>+_xlfn.XLOOKUP(B7,VLookup!$B$1:$B$9,VLookup!$C$1:$C$9)</f>
        <v>HR</v>
      </c>
      <c r="D7" t="str">
        <f>+_xlfn.XLOOKUP(B7,VLookup!$B$1:$B$9,VLookup!$D$1:$D$9)</f>
        <v>Delhi</v>
      </c>
      <c r="E7" s="1">
        <f>+HLOOKUP(C7,HLookup!$A$1:$F$2,2,0)</f>
        <v>0.08</v>
      </c>
    </row>
    <row r="8" spans="1:5" x14ac:dyDescent="0.25">
      <c r="B8" t="s">
        <v>15</v>
      </c>
      <c r="C8" t="str">
        <f>+_xlfn.XLOOKUP(B8,VLookup!$B$1:$B$9,VLookup!$C$1:$C$9)</f>
        <v>IT</v>
      </c>
      <c r="D8" t="str">
        <f>+_xlfn.XLOOKUP(B8,VLookup!$B$1:$B$9,VLookup!$D$1:$D$9)</f>
        <v>Bangalore</v>
      </c>
      <c r="E8" s="1">
        <f>+HLOOKUP(C8,HLookup!$A$1:$F$2,2,0)</f>
        <v>0.12</v>
      </c>
    </row>
    <row r="9" spans="1:5" x14ac:dyDescent="0.25">
      <c r="B9" t="s">
        <v>19</v>
      </c>
      <c r="C9" t="str">
        <f>+_xlfn.XLOOKUP(B9,VLookup!$B$1:$B$9,VLookup!$C$1:$C$9)</f>
        <v>Finance</v>
      </c>
      <c r="D9" t="str">
        <f>+_xlfn.XLOOKUP(B9,VLookup!$B$1:$B$9,VLookup!$D$1:$D$9)</f>
        <v>Pune</v>
      </c>
      <c r="E9" s="1">
        <f>+HLOOKUP(C9,HLookup!$A$1:$F$2,2,0)</f>
        <v>0.15</v>
      </c>
    </row>
    <row r="10" spans="1:5" x14ac:dyDescent="0.25">
      <c r="B10" t="s">
        <v>23</v>
      </c>
      <c r="C10" t="str">
        <f>+_xlfn.XLOOKUP(B10,VLookup!$B$1:$B$9,VLookup!$C$1:$C$9)</f>
        <v>Marketing</v>
      </c>
      <c r="D10" t="str">
        <f>+_xlfn.XLOOKUP(B10,VLookup!$B$1:$B$9,VLookup!$D$1:$D$9)</f>
        <v>Mumbai</v>
      </c>
      <c r="E10" s="1">
        <f>+HLOOKUP(C10,HLookup!$A$1:$F$2,2,0)</f>
        <v>0.09</v>
      </c>
    </row>
    <row r="11" spans="1:5" x14ac:dyDescent="0.25">
      <c r="B11" t="s">
        <v>26</v>
      </c>
      <c r="C11" t="str">
        <f>+_xlfn.XLOOKUP(B11,VLookup!$B$1:$B$9,VLookup!$C$1:$C$9)</f>
        <v>IT</v>
      </c>
      <c r="D11" t="str">
        <f>+_xlfn.XLOOKUP(B11,VLookup!$B$1:$B$9,VLookup!$D$1:$D$9)</f>
        <v>Chennai</v>
      </c>
      <c r="E11" s="1">
        <f>+HLOOKUP(C11,HLookup!$A$1:$F$2,2,0)</f>
        <v>0.12</v>
      </c>
    </row>
    <row r="12" spans="1:5" x14ac:dyDescent="0.25">
      <c r="B12" t="s">
        <v>29</v>
      </c>
      <c r="C12" t="str">
        <f>+_xlfn.XLOOKUP(B12,VLookup!$B$1:$B$9,VLookup!$C$1:$C$9)</f>
        <v>Sales</v>
      </c>
      <c r="D12" t="str">
        <f>+_xlfn.XLOOKUP(B12,VLookup!$B$1:$B$9,VLookup!$D$1:$D$9)</f>
        <v>Hyderabad</v>
      </c>
      <c r="E12" s="1">
        <f>+HLOOKUP(C12,HLookup!$A$1:$F$2,2,0)</f>
        <v>0.1</v>
      </c>
    </row>
    <row r="13" spans="1:5" x14ac:dyDescent="0.25">
      <c r="B13" t="s">
        <v>32</v>
      </c>
      <c r="C13" t="str">
        <f>+_xlfn.XLOOKUP(B13,VLookup!$B$1:$B$9,VLookup!$C$1:$C$9)</f>
        <v>HR</v>
      </c>
      <c r="D13" t="str">
        <f>+_xlfn.XLOOKUP(B13,VLookup!$B$1:$B$9,VLookup!$D$1:$D$9)</f>
        <v>Bangalore</v>
      </c>
      <c r="E13" s="1">
        <f>+HLOOKUP(C13,HLookup!$A$1:$F$2,2,0)</f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2026-02-01T04:42:35Z</dcterms:created>
  <dcterms:modified xsi:type="dcterms:W3CDTF">2026-02-01T06:30:53Z</dcterms:modified>
</cp:coreProperties>
</file>